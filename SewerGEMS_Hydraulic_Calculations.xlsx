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 T world\Downloads\"/>
    </mc:Choice>
  </mc:AlternateContent>
  <bookViews>
    <workbookView xWindow="0" yWindow="0" windowWidth="14380" windowHeight="44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56" i="1" l="1"/>
  <c r="AH60" i="1"/>
  <c r="AH59" i="1"/>
  <c r="AH58" i="1"/>
  <c r="AH57" i="1"/>
  <c r="AH56" i="1"/>
  <c r="AH55" i="1"/>
  <c r="AH54" i="1"/>
  <c r="AH53" i="1"/>
  <c r="AH50" i="1"/>
  <c r="AH48" i="1"/>
  <c r="AH46" i="1"/>
  <c r="AH44" i="1"/>
  <c r="AH41" i="1"/>
  <c r="AH38" i="1"/>
  <c r="AH34" i="1"/>
  <c r="AH30" i="1"/>
  <c r="AH26" i="1"/>
  <c r="AH21" i="1"/>
  <c r="AH9" i="1"/>
  <c r="J17" i="1" l="1"/>
  <c r="J10" i="1" l="1"/>
  <c r="J11" i="1"/>
  <c r="J12" i="1"/>
  <c r="J13" i="1"/>
  <c r="J14" i="1"/>
  <c r="J15" i="1"/>
  <c r="J16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9" i="1"/>
  <c r="AA9" i="1" l="1"/>
  <c r="AC9" i="1" s="1"/>
  <c r="AD10" i="1" l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3" i="1"/>
  <c r="AD54" i="1"/>
  <c r="AD55" i="1"/>
  <c r="AD56" i="1"/>
  <c r="AD57" i="1"/>
  <c r="AD58" i="1"/>
  <c r="AD59" i="1"/>
  <c r="AD60" i="1"/>
  <c r="AD9" i="1"/>
  <c r="Y10" i="1" l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3" i="1"/>
  <c r="Y54" i="1"/>
  <c r="Y55" i="1"/>
  <c r="Y56" i="1"/>
  <c r="Y57" i="1"/>
  <c r="Y58" i="1"/>
  <c r="Y59" i="1"/>
  <c r="Y60" i="1"/>
  <c r="Y9" i="1"/>
  <c r="X10" i="1"/>
  <c r="AE10" i="1" s="1"/>
  <c r="X11" i="1"/>
  <c r="AE11" i="1" s="1"/>
  <c r="X12" i="1"/>
  <c r="AE12" i="1" s="1"/>
  <c r="X13" i="1"/>
  <c r="AE13" i="1" s="1"/>
  <c r="X14" i="1"/>
  <c r="AE14" i="1" s="1"/>
  <c r="X15" i="1"/>
  <c r="AE15" i="1" s="1"/>
  <c r="X16" i="1"/>
  <c r="AE16" i="1" s="1"/>
  <c r="X17" i="1"/>
  <c r="AE17" i="1" s="1"/>
  <c r="X18" i="1"/>
  <c r="AE18" i="1" s="1"/>
  <c r="X19" i="1"/>
  <c r="AE19" i="1" s="1"/>
  <c r="X20" i="1"/>
  <c r="AE20" i="1" s="1"/>
  <c r="X21" i="1"/>
  <c r="AE21" i="1" s="1"/>
  <c r="X22" i="1"/>
  <c r="AE22" i="1" s="1"/>
  <c r="X23" i="1"/>
  <c r="AE23" i="1" s="1"/>
  <c r="X24" i="1"/>
  <c r="AE24" i="1" s="1"/>
  <c r="X25" i="1"/>
  <c r="AE25" i="1" s="1"/>
  <c r="X26" i="1"/>
  <c r="AE26" i="1" s="1"/>
  <c r="X27" i="1"/>
  <c r="AE27" i="1" s="1"/>
  <c r="X28" i="1"/>
  <c r="AE28" i="1" s="1"/>
  <c r="X29" i="1"/>
  <c r="AE29" i="1" s="1"/>
  <c r="X30" i="1"/>
  <c r="AE30" i="1" s="1"/>
  <c r="X31" i="1"/>
  <c r="AE31" i="1" s="1"/>
  <c r="X32" i="1"/>
  <c r="AE32" i="1" s="1"/>
  <c r="X33" i="1"/>
  <c r="AE33" i="1" s="1"/>
  <c r="X34" i="1"/>
  <c r="AE34" i="1" s="1"/>
  <c r="X35" i="1"/>
  <c r="AE35" i="1" s="1"/>
  <c r="X36" i="1"/>
  <c r="AE36" i="1" s="1"/>
  <c r="X37" i="1"/>
  <c r="AE37" i="1" s="1"/>
  <c r="X38" i="1"/>
  <c r="AE38" i="1" s="1"/>
  <c r="X39" i="1"/>
  <c r="AE39" i="1" s="1"/>
  <c r="X40" i="1"/>
  <c r="AE40" i="1" s="1"/>
  <c r="X41" i="1"/>
  <c r="AE41" i="1" s="1"/>
  <c r="X42" i="1"/>
  <c r="AE42" i="1" s="1"/>
  <c r="X43" i="1"/>
  <c r="AE43" i="1" s="1"/>
  <c r="X44" i="1"/>
  <c r="AE44" i="1" s="1"/>
  <c r="X45" i="1"/>
  <c r="AE45" i="1" s="1"/>
  <c r="X46" i="1"/>
  <c r="AE46" i="1" s="1"/>
  <c r="X47" i="1"/>
  <c r="AE47" i="1" s="1"/>
  <c r="X48" i="1"/>
  <c r="AE48" i="1" s="1"/>
  <c r="X49" i="1"/>
  <c r="AE49" i="1" s="1"/>
  <c r="X50" i="1"/>
  <c r="AE50" i="1" s="1"/>
  <c r="X51" i="1"/>
  <c r="AE51" i="1" s="1"/>
  <c r="X53" i="1"/>
  <c r="AE53" i="1" s="1"/>
  <c r="X54" i="1"/>
  <c r="AE54" i="1" s="1"/>
  <c r="X55" i="1"/>
  <c r="AE55" i="1" s="1"/>
  <c r="X56" i="1"/>
  <c r="AE56" i="1" s="1"/>
  <c r="X57" i="1"/>
  <c r="AE57" i="1" s="1"/>
  <c r="X58" i="1"/>
  <c r="AE58" i="1" s="1"/>
  <c r="X59" i="1"/>
  <c r="AE59" i="1" s="1"/>
  <c r="X60" i="1"/>
  <c r="AE60" i="1" s="1"/>
  <c r="X9" i="1"/>
  <c r="AE9" i="1" s="1"/>
  <c r="W10" i="1" l="1"/>
  <c r="W11" i="1"/>
  <c r="W12" i="1"/>
  <c r="W13" i="1"/>
  <c r="W14" i="1"/>
  <c r="W15" i="1"/>
  <c r="W16" i="1"/>
  <c r="W17" i="1"/>
  <c r="W18" i="1"/>
  <c r="W19" i="1"/>
  <c r="W20" i="1"/>
  <c r="W21" i="1"/>
  <c r="AI21" i="1" s="1"/>
  <c r="W22" i="1"/>
  <c r="W23" i="1"/>
  <c r="W24" i="1"/>
  <c r="W25" i="1"/>
  <c r="W26" i="1"/>
  <c r="AI26" i="1" s="1"/>
  <c r="W27" i="1"/>
  <c r="W28" i="1"/>
  <c r="W29" i="1"/>
  <c r="W30" i="1"/>
  <c r="AI30" i="1" s="1"/>
  <c r="W31" i="1"/>
  <c r="W32" i="1"/>
  <c r="W33" i="1"/>
  <c r="W34" i="1"/>
  <c r="AI34" i="1" s="1"/>
  <c r="W35" i="1"/>
  <c r="W36" i="1"/>
  <c r="W37" i="1"/>
  <c r="W38" i="1"/>
  <c r="AI38" i="1" s="1"/>
  <c r="W39" i="1"/>
  <c r="W40" i="1"/>
  <c r="W41" i="1"/>
  <c r="AI41" i="1" s="1"/>
  <c r="W42" i="1"/>
  <c r="W43" i="1"/>
  <c r="W44" i="1"/>
  <c r="AI44" i="1" s="1"/>
  <c r="W45" i="1"/>
  <c r="W46" i="1"/>
  <c r="AI46" i="1" s="1"/>
  <c r="W47" i="1"/>
  <c r="W48" i="1"/>
  <c r="AI48" i="1" s="1"/>
  <c r="W49" i="1"/>
  <c r="W50" i="1"/>
  <c r="AI50" i="1" s="1"/>
  <c r="W51" i="1"/>
  <c r="W53" i="1"/>
  <c r="AI53" i="1" s="1"/>
  <c r="W54" i="1"/>
  <c r="AI54" i="1" s="1"/>
  <c r="W55" i="1"/>
  <c r="AI55" i="1" s="1"/>
  <c r="W56" i="1"/>
  <c r="W57" i="1"/>
  <c r="AI57" i="1" s="1"/>
  <c r="W58" i="1"/>
  <c r="AI58" i="1" s="1"/>
  <c r="W59" i="1"/>
  <c r="AI59" i="1" s="1"/>
  <c r="W60" i="1"/>
  <c r="AI60" i="1" s="1"/>
  <c r="W9" i="1"/>
  <c r="AI9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53" i="1"/>
  <c r="N53" i="1" s="1"/>
  <c r="V11" i="1" l="1"/>
  <c r="V12" i="1"/>
  <c r="V13" i="1"/>
  <c r="V14" i="1"/>
  <c r="V16" i="1"/>
  <c r="V17" i="1"/>
  <c r="V18" i="1"/>
  <c r="V19" i="1"/>
  <c r="V20" i="1"/>
  <c r="V22" i="1"/>
  <c r="AH22" i="1" s="1"/>
  <c r="AI22" i="1" s="1"/>
  <c r="V23" i="1"/>
  <c r="V24" i="1"/>
  <c r="V25" i="1"/>
  <c r="V26" i="1"/>
  <c r="V27" i="1"/>
  <c r="AH27" i="1" s="1"/>
  <c r="AI27" i="1" s="1"/>
  <c r="V28" i="1"/>
  <c r="V29" i="1"/>
  <c r="V30" i="1"/>
  <c r="V31" i="1"/>
  <c r="AH31" i="1" s="1"/>
  <c r="AI31" i="1" s="1"/>
  <c r="V32" i="1"/>
  <c r="V33" i="1"/>
  <c r="V35" i="1"/>
  <c r="AH35" i="1" s="1"/>
  <c r="AI35" i="1" s="1"/>
  <c r="V36" i="1"/>
  <c r="V37" i="1"/>
  <c r="V38" i="1"/>
  <c r="V39" i="1"/>
  <c r="AH39" i="1" s="1"/>
  <c r="AI39" i="1" s="1"/>
  <c r="V40" i="1"/>
  <c r="V41" i="1"/>
  <c r="V42" i="1"/>
  <c r="AH42" i="1" s="1"/>
  <c r="AI42" i="1" s="1"/>
  <c r="V43" i="1"/>
  <c r="V44" i="1"/>
  <c r="V45" i="1"/>
  <c r="AH45" i="1" s="1"/>
  <c r="AI45" i="1" s="1"/>
  <c r="V46" i="1"/>
  <c r="V47" i="1"/>
  <c r="AH47" i="1" s="1"/>
  <c r="AI47" i="1" s="1"/>
  <c r="V48" i="1"/>
  <c r="V49" i="1"/>
  <c r="AH49" i="1" s="1"/>
  <c r="AI49" i="1" s="1"/>
  <c r="V50" i="1"/>
  <c r="V51" i="1"/>
  <c r="AH51" i="1" s="1"/>
  <c r="AI51" i="1" s="1"/>
  <c r="V54" i="1"/>
  <c r="V55" i="1"/>
  <c r="V56" i="1"/>
  <c r="V57" i="1"/>
  <c r="V58" i="1"/>
  <c r="V59" i="1"/>
  <c r="V60" i="1"/>
  <c r="V10" i="1"/>
  <c r="AH10" i="1" s="1"/>
  <c r="AI10" i="1" s="1"/>
  <c r="AH40" i="1" l="1"/>
  <c r="AI40" i="1" s="1"/>
  <c r="AH36" i="1"/>
  <c r="AI36" i="1" s="1"/>
  <c r="AH37" i="1" s="1"/>
  <c r="AI37" i="1" s="1"/>
  <c r="AH43" i="1"/>
  <c r="AI43" i="1" s="1"/>
  <c r="AH32" i="1"/>
  <c r="AI32" i="1" s="1"/>
  <c r="AH33" i="1" s="1"/>
  <c r="AI33" i="1" s="1"/>
  <c r="AH28" i="1"/>
  <c r="AI28" i="1" s="1"/>
  <c r="AH29" i="1" s="1"/>
  <c r="AI29" i="1" s="1"/>
  <c r="AH11" i="1"/>
  <c r="AI11" i="1" s="1"/>
  <c r="AH12" i="1" s="1"/>
  <c r="AI12" i="1" s="1"/>
  <c r="AH13" i="1" s="1"/>
  <c r="AI13" i="1" s="1"/>
  <c r="AH14" i="1" s="1"/>
  <c r="AI14" i="1" s="1"/>
  <c r="AH15" i="1" s="1"/>
  <c r="AI15" i="1" s="1"/>
  <c r="AH16" i="1" s="1"/>
  <c r="AI16" i="1" s="1"/>
  <c r="AH17" i="1" s="1"/>
  <c r="AI17" i="1" s="1"/>
  <c r="AH18" i="1" s="1"/>
  <c r="AI18" i="1" s="1"/>
  <c r="AH19" i="1" s="1"/>
  <c r="AI19" i="1" s="1"/>
  <c r="AH20" i="1" s="1"/>
  <c r="AI20" i="1" s="1"/>
  <c r="AH23" i="1"/>
  <c r="AI23" i="1" s="1"/>
  <c r="AH24" i="1" s="1"/>
  <c r="AI24" i="1" s="1"/>
  <c r="AH25" i="1" s="1"/>
  <c r="AI25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9" i="1"/>
  <c r="N9" i="1" s="1"/>
  <c r="P10" i="1" l="1"/>
  <c r="Q10" i="1" s="1"/>
  <c r="P9" i="1"/>
  <c r="Q9" i="1" s="1"/>
  <c r="P11" i="1"/>
  <c r="Q11" i="1" s="1"/>
  <c r="O12" i="1"/>
  <c r="P13" i="1"/>
  <c r="Q13" i="1" s="1"/>
  <c r="P14" i="1"/>
  <c r="Q14" i="1" s="1"/>
  <c r="P15" i="1"/>
  <c r="Q15" i="1" s="1"/>
  <c r="O16" i="1"/>
  <c r="P17" i="1"/>
  <c r="Q17" i="1" s="1"/>
  <c r="O18" i="1"/>
  <c r="O19" i="1"/>
  <c r="O20" i="1"/>
  <c r="P21" i="1"/>
  <c r="Q21" i="1" s="1"/>
  <c r="P22" i="1"/>
  <c r="Q22" i="1" s="1"/>
  <c r="P23" i="1"/>
  <c r="Q23" i="1" s="1"/>
  <c r="O24" i="1"/>
  <c r="P25" i="1"/>
  <c r="Q25" i="1" s="1"/>
  <c r="O26" i="1"/>
  <c r="O27" i="1"/>
  <c r="O28" i="1"/>
  <c r="P29" i="1"/>
  <c r="Q29" i="1" s="1"/>
  <c r="P30" i="1"/>
  <c r="Q30" i="1" s="1"/>
  <c r="P31" i="1"/>
  <c r="Q31" i="1" s="1"/>
  <c r="O32" i="1"/>
  <c r="P33" i="1"/>
  <c r="Q33" i="1" s="1"/>
  <c r="O34" i="1"/>
  <c r="O35" i="1"/>
  <c r="O36" i="1"/>
  <c r="P37" i="1"/>
  <c r="Q37" i="1" s="1"/>
  <c r="P38" i="1"/>
  <c r="Q38" i="1" s="1"/>
  <c r="P39" i="1"/>
  <c r="Q39" i="1" s="1"/>
  <c r="O40" i="1"/>
  <c r="P41" i="1"/>
  <c r="Q41" i="1" s="1"/>
  <c r="O42" i="1"/>
  <c r="O43" i="1"/>
  <c r="O44" i="1"/>
  <c r="P45" i="1"/>
  <c r="Q45" i="1" s="1"/>
  <c r="P46" i="1"/>
  <c r="Q46" i="1" s="1"/>
  <c r="P47" i="1"/>
  <c r="Q47" i="1" s="1"/>
  <c r="O48" i="1"/>
  <c r="P49" i="1"/>
  <c r="Q49" i="1" s="1"/>
  <c r="O50" i="1"/>
  <c r="O51" i="1"/>
  <c r="P53" i="1"/>
  <c r="Q53" i="1" s="1"/>
  <c r="P54" i="1"/>
  <c r="Q54" i="1" s="1"/>
  <c r="P55" i="1"/>
  <c r="Q55" i="1" s="1"/>
  <c r="O56" i="1"/>
  <c r="P57" i="1"/>
  <c r="Q57" i="1" s="1"/>
  <c r="P58" i="1"/>
  <c r="Q58" i="1" s="1"/>
  <c r="O59" i="1"/>
  <c r="O60" i="1"/>
  <c r="O10" i="1" l="1"/>
  <c r="R10" i="1" s="1"/>
  <c r="P43" i="1"/>
  <c r="O55" i="1"/>
  <c r="R55" i="1" s="1"/>
  <c r="P35" i="1"/>
  <c r="O39" i="1"/>
  <c r="R39" i="1" s="1"/>
  <c r="P59" i="1"/>
  <c r="P27" i="1"/>
  <c r="O23" i="1"/>
  <c r="R23" i="1" s="1"/>
  <c r="P51" i="1"/>
  <c r="P19" i="1"/>
  <c r="P56" i="1"/>
  <c r="Q56" i="1" s="1"/>
  <c r="P48" i="1"/>
  <c r="Q48" i="1" s="1"/>
  <c r="P40" i="1"/>
  <c r="Q40" i="1" s="1"/>
  <c r="P32" i="1"/>
  <c r="Q32" i="1" s="1"/>
  <c r="P24" i="1"/>
  <c r="Q24" i="1" s="1"/>
  <c r="P16" i="1"/>
  <c r="Q16" i="1" s="1"/>
  <c r="O47" i="1"/>
  <c r="R47" i="1" s="1"/>
  <c r="O31" i="1"/>
  <c r="R31" i="1" s="1"/>
  <c r="O15" i="1"/>
  <c r="R15" i="1" s="1"/>
  <c r="O11" i="1"/>
  <c r="R11" i="1" s="1"/>
  <c r="P60" i="1"/>
  <c r="Q60" i="1" s="1"/>
  <c r="P44" i="1"/>
  <c r="Q44" i="1" s="1"/>
  <c r="P36" i="1"/>
  <c r="Q36" i="1" s="1"/>
  <c r="P28" i="1"/>
  <c r="Q28" i="1" s="1"/>
  <c r="P20" i="1"/>
  <c r="Q20" i="1" s="1"/>
  <c r="P12" i="1"/>
  <c r="Q12" i="1" s="1"/>
  <c r="O9" i="1"/>
  <c r="R9" i="1" s="1"/>
  <c r="O58" i="1"/>
  <c r="R58" i="1" s="1"/>
  <c r="O54" i="1"/>
  <c r="R54" i="1" s="1"/>
  <c r="O46" i="1"/>
  <c r="R46" i="1" s="1"/>
  <c r="O38" i="1"/>
  <c r="R38" i="1" s="1"/>
  <c r="O30" i="1"/>
  <c r="R30" i="1" s="1"/>
  <c r="O22" i="1"/>
  <c r="R22" i="1" s="1"/>
  <c r="O14" i="1"/>
  <c r="R14" i="1" s="1"/>
  <c r="O57" i="1"/>
  <c r="R57" i="1" s="1"/>
  <c r="O53" i="1"/>
  <c r="R53" i="1" s="1"/>
  <c r="O49" i="1"/>
  <c r="R49" i="1" s="1"/>
  <c r="O45" i="1"/>
  <c r="R45" i="1" s="1"/>
  <c r="O41" i="1"/>
  <c r="R41" i="1" s="1"/>
  <c r="O37" i="1"/>
  <c r="R37" i="1" s="1"/>
  <c r="O33" i="1"/>
  <c r="R33" i="1" s="1"/>
  <c r="O29" i="1"/>
  <c r="R29" i="1" s="1"/>
  <c r="O25" i="1"/>
  <c r="R25" i="1" s="1"/>
  <c r="O21" i="1"/>
  <c r="R21" i="1" s="1"/>
  <c r="O17" i="1"/>
  <c r="R17" i="1" s="1"/>
  <c r="O13" i="1"/>
  <c r="R13" i="1" s="1"/>
  <c r="P50" i="1"/>
  <c r="Q50" i="1" s="1"/>
  <c r="P42" i="1"/>
  <c r="Q42" i="1" s="1"/>
  <c r="P34" i="1"/>
  <c r="Q34" i="1" s="1"/>
  <c r="P26" i="1"/>
  <c r="Q26" i="1" s="1"/>
  <c r="P18" i="1"/>
  <c r="Q18" i="1" s="1"/>
  <c r="T29" i="1" l="1"/>
  <c r="Z29" i="1"/>
  <c r="AA29" i="1" s="1"/>
  <c r="T17" i="1"/>
  <c r="Z17" i="1"/>
  <c r="AA17" i="1" s="1"/>
  <c r="T49" i="1"/>
  <c r="Z49" i="1"/>
  <c r="AA49" i="1" s="1"/>
  <c r="T54" i="1"/>
  <c r="Z54" i="1"/>
  <c r="AA54" i="1" s="1"/>
  <c r="T39" i="1"/>
  <c r="Z39" i="1"/>
  <c r="AA39" i="1" s="1"/>
  <c r="T21" i="1"/>
  <c r="Z21" i="1"/>
  <c r="AA21" i="1" s="1"/>
  <c r="T37" i="1"/>
  <c r="Z37" i="1"/>
  <c r="AA37" i="1" s="1"/>
  <c r="T53" i="1"/>
  <c r="Z53" i="1"/>
  <c r="AA53" i="1" s="1"/>
  <c r="T30" i="1"/>
  <c r="Z30" i="1"/>
  <c r="AA30" i="1" s="1"/>
  <c r="T58" i="1"/>
  <c r="Z58" i="1"/>
  <c r="AA58" i="1" s="1"/>
  <c r="T11" i="1"/>
  <c r="Z11" i="1"/>
  <c r="AA11" i="1" s="1"/>
  <c r="T23" i="1"/>
  <c r="Z23" i="1"/>
  <c r="AA23" i="1" s="1"/>
  <c r="T25" i="1"/>
  <c r="Z25" i="1"/>
  <c r="AA25" i="1" s="1"/>
  <c r="T41" i="1"/>
  <c r="Z41" i="1"/>
  <c r="AA41" i="1" s="1"/>
  <c r="T57" i="1"/>
  <c r="Z57" i="1"/>
  <c r="AA57" i="1" s="1"/>
  <c r="T38" i="1"/>
  <c r="Z38" i="1"/>
  <c r="AA38" i="1" s="1"/>
  <c r="T15" i="1"/>
  <c r="Z15" i="1"/>
  <c r="AA15" i="1" s="1"/>
  <c r="T55" i="1"/>
  <c r="Z55" i="1"/>
  <c r="AA55" i="1" s="1"/>
  <c r="T13" i="1"/>
  <c r="Z13" i="1"/>
  <c r="AA13" i="1" s="1"/>
  <c r="T45" i="1"/>
  <c r="Z45" i="1"/>
  <c r="AA45" i="1" s="1"/>
  <c r="T14" i="1"/>
  <c r="Z14" i="1"/>
  <c r="AA14" i="1" s="1"/>
  <c r="T46" i="1"/>
  <c r="Z46" i="1"/>
  <c r="AA46" i="1" s="1"/>
  <c r="T31" i="1"/>
  <c r="Z31" i="1"/>
  <c r="AA31" i="1" s="1"/>
  <c r="T33" i="1"/>
  <c r="Z33" i="1"/>
  <c r="AA33" i="1" s="1"/>
  <c r="T22" i="1"/>
  <c r="Z22" i="1"/>
  <c r="AA22" i="1" s="1"/>
  <c r="T47" i="1"/>
  <c r="Z47" i="1"/>
  <c r="AA47" i="1" s="1"/>
  <c r="T10" i="1"/>
  <c r="Z10" i="1"/>
  <c r="AA10" i="1" s="1"/>
  <c r="Z9" i="1"/>
  <c r="AB9" i="1" s="1"/>
  <c r="T9" i="1"/>
  <c r="R32" i="1"/>
  <c r="R42" i="1"/>
  <c r="R24" i="1"/>
  <c r="R56" i="1"/>
  <c r="R60" i="1"/>
  <c r="R28" i="1"/>
  <c r="R26" i="1"/>
  <c r="R40" i="1"/>
  <c r="Q59" i="1"/>
  <c r="R59" i="1"/>
  <c r="Q43" i="1"/>
  <c r="R43" i="1"/>
  <c r="R50" i="1"/>
  <c r="R34" i="1"/>
  <c r="Q51" i="1"/>
  <c r="R51" i="1"/>
  <c r="R16" i="1"/>
  <c r="R48" i="1"/>
  <c r="Q27" i="1"/>
  <c r="R27" i="1"/>
  <c r="Q19" i="1"/>
  <c r="R19" i="1"/>
  <c r="R44" i="1"/>
  <c r="Q35" i="1"/>
  <c r="R35" i="1"/>
  <c r="R18" i="1"/>
  <c r="R20" i="1"/>
  <c r="R36" i="1"/>
  <c r="R12" i="1"/>
  <c r="AB47" i="1" l="1"/>
  <c r="AC47" i="1"/>
  <c r="AB46" i="1"/>
  <c r="AC46" i="1"/>
  <c r="AB55" i="1"/>
  <c r="AC55" i="1"/>
  <c r="AB41" i="1"/>
  <c r="AC41" i="1"/>
  <c r="AB58" i="1"/>
  <c r="AC58" i="1"/>
  <c r="AB53" i="1"/>
  <c r="AC53" i="1"/>
  <c r="AB54" i="1"/>
  <c r="AC54" i="1"/>
  <c r="AB17" i="1"/>
  <c r="AC17" i="1"/>
  <c r="AB10" i="1"/>
  <c r="AC10" i="1"/>
  <c r="AB22" i="1"/>
  <c r="AC22" i="1"/>
  <c r="AB31" i="1"/>
  <c r="AC31" i="1"/>
  <c r="AB14" i="1"/>
  <c r="AC14" i="1"/>
  <c r="AB13" i="1"/>
  <c r="AC13" i="1"/>
  <c r="AB15" i="1"/>
  <c r="AC15" i="1"/>
  <c r="AB57" i="1"/>
  <c r="AC57" i="1"/>
  <c r="AB25" i="1"/>
  <c r="AC25" i="1"/>
  <c r="AB11" i="1"/>
  <c r="AC11" i="1"/>
  <c r="AB30" i="1"/>
  <c r="AC30" i="1"/>
  <c r="AB37" i="1"/>
  <c r="AC37" i="1"/>
  <c r="AB39" i="1"/>
  <c r="AC39" i="1"/>
  <c r="AB29" i="1"/>
  <c r="AC29" i="1"/>
  <c r="AB33" i="1"/>
  <c r="AC33" i="1"/>
  <c r="AB45" i="1"/>
  <c r="AC45" i="1"/>
  <c r="AB38" i="1"/>
  <c r="AC38" i="1"/>
  <c r="AB23" i="1"/>
  <c r="AC23" i="1"/>
  <c r="AB21" i="1"/>
  <c r="AC21" i="1"/>
  <c r="AB49" i="1"/>
  <c r="AC49" i="1"/>
  <c r="T36" i="1"/>
  <c r="Z36" i="1"/>
  <c r="AA36" i="1" s="1"/>
  <c r="T43" i="1"/>
  <c r="Z43" i="1"/>
  <c r="AA43" i="1" s="1"/>
  <c r="T56" i="1"/>
  <c r="Z56" i="1"/>
  <c r="AA56" i="1" s="1"/>
  <c r="T20" i="1"/>
  <c r="Z20" i="1"/>
  <c r="AA20" i="1" s="1"/>
  <c r="T26" i="1"/>
  <c r="Z26" i="1"/>
  <c r="AA26" i="1" s="1"/>
  <c r="T24" i="1"/>
  <c r="Z24" i="1"/>
  <c r="AA24" i="1" s="1"/>
  <c r="T27" i="1"/>
  <c r="Z27" i="1"/>
  <c r="AA27" i="1" s="1"/>
  <c r="T40" i="1"/>
  <c r="Z40" i="1"/>
  <c r="AA40" i="1" s="1"/>
  <c r="T44" i="1"/>
  <c r="Z44" i="1"/>
  <c r="AA44" i="1" s="1"/>
  <c r="T18" i="1"/>
  <c r="Z18" i="1"/>
  <c r="AA18" i="1" s="1"/>
  <c r="T19" i="1"/>
  <c r="Z19" i="1"/>
  <c r="AA19" i="1" s="1"/>
  <c r="T48" i="1"/>
  <c r="Z48" i="1"/>
  <c r="AA48" i="1" s="1"/>
  <c r="T34" i="1"/>
  <c r="Z34" i="1"/>
  <c r="AA34" i="1" s="1"/>
  <c r="T59" i="1"/>
  <c r="Z59" i="1"/>
  <c r="AA59" i="1" s="1"/>
  <c r="T28" i="1"/>
  <c r="Z28" i="1"/>
  <c r="AA28" i="1" s="1"/>
  <c r="T42" i="1"/>
  <c r="Z42" i="1"/>
  <c r="AA42" i="1" s="1"/>
  <c r="T51" i="1"/>
  <c r="Z51" i="1"/>
  <c r="AA51" i="1" s="1"/>
  <c r="T12" i="1"/>
  <c r="Z12" i="1"/>
  <c r="AA12" i="1" s="1"/>
  <c r="T35" i="1"/>
  <c r="Z35" i="1"/>
  <c r="AA35" i="1" s="1"/>
  <c r="T16" i="1"/>
  <c r="Z16" i="1"/>
  <c r="AA16" i="1" s="1"/>
  <c r="T50" i="1"/>
  <c r="Z50" i="1"/>
  <c r="AA50" i="1" s="1"/>
  <c r="T60" i="1"/>
  <c r="Z60" i="1"/>
  <c r="AA60" i="1" s="1"/>
  <c r="T32" i="1"/>
  <c r="Z32" i="1"/>
  <c r="AA32" i="1" s="1"/>
  <c r="AB32" i="1" l="1"/>
  <c r="AC32" i="1"/>
  <c r="AB50" i="1"/>
  <c r="AC50" i="1"/>
  <c r="AB51" i="1"/>
  <c r="AC51" i="1"/>
  <c r="AB34" i="1"/>
  <c r="AC34" i="1"/>
  <c r="AB27" i="1"/>
  <c r="AC27" i="1"/>
  <c r="AB56" i="1"/>
  <c r="AC56" i="1"/>
  <c r="AB60" i="1"/>
  <c r="AC60" i="1"/>
  <c r="AB42" i="1"/>
  <c r="AC42" i="1"/>
  <c r="AB18" i="1"/>
  <c r="AC18" i="1"/>
  <c r="AB35" i="1"/>
  <c r="AC35" i="1"/>
  <c r="AB28" i="1"/>
  <c r="AC28" i="1"/>
  <c r="AB19" i="1"/>
  <c r="AC19" i="1"/>
  <c r="AB44" i="1"/>
  <c r="AC44" i="1"/>
  <c r="AB26" i="1"/>
  <c r="AC26" i="1"/>
  <c r="AB36" i="1"/>
  <c r="AC36" i="1"/>
  <c r="AB16" i="1"/>
  <c r="AC16" i="1"/>
  <c r="AB12" i="1"/>
  <c r="AC12" i="1"/>
  <c r="AB59" i="1"/>
  <c r="AC59" i="1"/>
  <c r="AB48" i="1"/>
  <c r="AC48" i="1"/>
  <c r="AB40" i="1"/>
  <c r="AC40" i="1"/>
  <c r="AB24" i="1"/>
  <c r="AC24" i="1"/>
  <c r="AB20" i="1"/>
  <c r="AC20" i="1"/>
  <c r="AB43" i="1"/>
  <c r="AC43" i="1"/>
</calcChain>
</file>

<file path=xl/sharedStrings.xml><?xml version="1.0" encoding="utf-8"?>
<sst xmlns="http://schemas.openxmlformats.org/spreadsheetml/2006/main" count="1260" uniqueCount="260">
  <si>
    <t>Sr. No.</t>
  </si>
  <si>
    <t>Sewer. No</t>
  </si>
  <si>
    <t>Sewer Name</t>
  </si>
  <si>
    <t>Length</t>
  </si>
  <si>
    <t>Infiltration</t>
  </si>
  <si>
    <t>Peak sewage flow</t>
  </si>
  <si>
    <t>Storm sewage</t>
  </si>
  <si>
    <t>Previous</t>
  </si>
  <si>
    <t>MH</t>
  </si>
  <si>
    <t>From</t>
  </si>
  <si>
    <t>To</t>
  </si>
  <si>
    <t>35-36</t>
  </si>
  <si>
    <t>37-38</t>
  </si>
  <si>
    <t>40-41</t>
  </si>
  <si>
    <t>41-42</t>
  </si>
  <si>
    <t>43-44</t>
  </si>
  <si>
    <t>44-45</t>
  </si>
  <si>
    <t>45-48</t>
  </si>
  <si>
    <t>Online</t>
  </si>
  <si>
    <t xml:space="preserve">Total </t>
  </si>
  <si>
    <t>Diameter</t>
  </si>
  <si>
    <t>inch</t>
  </si>
  <si>
    <t>Calculated</t>
  </si>
  <si>
    <t>Provided</t>
  </si>
  <si>
    <t>gpm</t>
  </si>
  <si>
    <t>ft</t>
  </si>
  <si>
    <t>Demand Flow</t>
  </si>
  <si>
    <t>28-29</t>
  </si>
  <si>
    <t>29-30</t>
  </si>
  <si>
    <t>30-31</t>
  </si>
  <si>
    <t>31-32</t>
  </si>
  <si>
    <t>32-33</t>
  </si>
  <si>
    <t>33-34</t>
  </si>
  <si>
    <t>34-35</t>
  </si>
  <si>
    <t>36-38</t>
  </si>
  <si>
    <t>38-50</t>
  </si>
  <si>
    <t>50-51</t>
  </si>
  <si>
    <t>51-52</t>
  </si>
  <si>
    <t xml:space="preserve"> 1-3</t>
  </si>
  <si>
    <t xml:space="preserve"> 3-5</t>
  </si>
  <si>
    <t xml:space="preserve"> 5-8</t>
  </si>
  <si>
    <t xml:space="preserve"> 8-36</t>
  </si>
  <si>
    <t>48-49</t>
  </si>
  <si>
    <t>49-50</t>
  </si>
  <si>
    <t xml:space="preserve"> 9-12</t>
  </si>
  <si>
    <t xml:space="preserve"> 12-16</t>
  </si>
  <si>
    <t xml:space="preserve"> 16-19</t>
  </si>
  <si>
    <t xml:space="preserve"> 19-35</t>
  </si>
  <si>
    <t xml:space="preserve"> 20-21</t>
  </si>
  <si>
    <t xml:space="preserve"> 21-23</t>
  </si>
  <si>
    <t xml:space="preserve"> 23-25</t>
  </si>
  <si>
    <t xml:space="preserve"> 25-34</t>
  </si>
  <si>
    <t xml:space="preserve"> 13-14</t>
  </si>
  <si>
    <t xml:space="preserve"> 14-15</t>
  </si>
  <si>
    <t xml:space="preserve"> 15-16</t>
  </si>
  <si>
    <t>42-49</t>
  </si>
  <si>
    <t>46-47</t>
  </si>
  <si>
    <t>47-48</t>
  </si>
  <si>
    <t xml:space="preserve"> 17-18</t>
  </si>
  <si>
    <t xml:space="preserve"> 18-19</t>
  </si>
  <si>
    <t xml:space="preserve"> 6-7</t>
  </si>
  <si>
    <t xml:space="preserve"> 7-8</t>
  </si>
  <si>
    <t xml:space="preserve"> 10-11</t>
  </si>
  <si>
    <t xml:space="preserve"> 11-12</t>
  </si>
  <si>
    <t xml:space="preserve"> 2-3</t>
  </si>
  <si>
    <t xml:space="preserve"> 4-5</t>
  </si>
  <si>
    <t xml:space="preserve"> 22-23</t>
  </si>
  <si>
    <t xml:space="preserve"> 24-25</t>
  </si>
  <si>
    <t xml:space="preserve"> 27-30</t>
  </si>
  <si>
    <t xml:space="preserve"> 26-31</t>
  </si>
  <si>
    <t>39-49</t>
  </si>
  <si>
    <t>ft/sec</t>
  </si>
  <si>
    <t>cusec</t>
  </si>
  <si>
    <t>Peak design velocity(Vf)</t>
  </si>
  <si>
    <t>Avg Daily Sewage flow(Qavg)</t>
  </si>
  <si>
    <t>Diameter difference</t>
  </si>
  <si>
    <t>Thickness of pipe</t>
  </si>
  <si>
    <t>Slope</t>
  </si>
  <si>
    <t>Qfull</t>
  </si>
  <si>
    <t>Fall</t>
  </si>
  <si>
    <t>Ground Level</t>
  </si>
  <si>
    <t>U/E</t>
  </si>
  <si>
    <t>L/E</t>
  </si>
  <si>
    <t>Invert Level</t>
  </si>
  <si>
    <t>Status</t>
  </si>
  <si>
    <t>d/D</t>
  </si>
  <si>
    <t>d</t>
  </si>
  <si>
    <t>V/Vfull</t>
  </si>
  <si>
    <t>Va</t>
  </si>
  <si>
    <t>FOR LATERALS</t>
  </si>
  <si>
    <t>Peak factor= 4</t>
  </si>
  <si>
    <t>sewage flow = 2.5 ft/s</t>
  </si>
  <si>
    <t>Design Flow(Qd)</t>
  </si>
  <si>
    <t>Qd/Qfull</t>
  </si>
  <si>
    <t>ft/ft</t>
  </si>
  <si>
    <t>q/Q</t>
  </si>
  <si>
    <t>v/V</t>
  </si>
  <si>
    <t>cusec/cusec</t>
  </si>
  <si>
    <t>frequent cleaning/flush tank</t>
  </si>
  <si>
    <t>Avg Online Sewage flow</t>
  </si>
  <si>
    <t>Design flow</t>
  </si>
  <si>
    <t>Per capita flow</t>
  </si>
  <si>
    <t>Equivelant pop</t>
  </si>
  <si>
    <t>Period flushing</t>
  </si>
  <si>
    <t>OK</t>
  </si>
  <si>
    <t>flush tank</t>
  </si>
  <si>
    <t>ID</t>
  </si>
  <si>
    <t>Label</t>
  </si>
  <si>
    <t>Elevation (Ground) (ft)</t>
  </si>
  <si>
    <t>Set Rim to Ground Elevation?</t>
  </si>
  <si>
    <t>Elevation (Rim) (ft)</t>
  </si>
  <si>
    <t>Bolted Cover?</t>
  </si>
  <si>
    <t>Elevation (Invert) (ft)</t>
  </si>
  <si>
    <t>Inflow (Wet) Collection</t>
  </si>
  <si>
    <t>Flow (Total In) (cfs)</t>
  </si>
  <si>
    <t>Flow (Total Out) (cfs)</t>
  </si>
  <si>
    <t>Depth (Out) (ft)</t>
  </si>
  <si>
    <t>Hydraulic Grade Line (Out) (ft)</t>
  </si>
  <si>
    <t>Headloss Method</t>
  </si>
  <si>
    <t>Hydraulic Grade Line (In) (ft)</t>
  </si>
  <si>
    <t>Is Ever Overflowing?</t>
  </si>
  <si>
    <t>Is Overflowing?</t>
  </si>
  <si>
    <t>Sanitary Loads</t>
  </si>
  <si>
    <t>Notes</t>
  </si>
  <si>
    <t>MH-1</t>
  </si>
  <si>
    <t>&lt;Collection: 0 items&gt;</t>
  </si>
  <si>
    <t>(N/A)</t>
  </si>
  <si>
    <t>&lt;Collection: 1 item&gt;</t>
  </si>
  <si>
    <t>MH-2</t>
  </si>
  <si>
    <t>MH-3</t>
  </si>
  <si>
    <t>MH-4</t>
  </si>
  <si>
    <t>MH-5</t>
  </si>
  <si>
    <t>MH-6</t>
  </si>
  <si>
    <t>MH-7</t>
  </si>
  <si>
    <t>MH-8</t>
  </si>
  <si>
    <t>MH-9</t>
  </si>
  <si>
    <t>MH-10</t>
  </si>
  <si>
    <t>MH-11</t>
  </si>
  <si>
    <t>MH-12</t>
  </si>
  <si>
    <t>MH-13</t>
  </si>
  <si>
    <t>MH-14</t>
  </si>
  <si>
    <t>MH-15</t>
  </si>
  <si>
    <t>MH-16</t>
  </si>
  <si>
    <t>MH-17</t>
  </si>
  <si>
    <t>MH-18</t>
  </si>
  <si>
    <t>MH-19</t>
  </si>
  <si>
    <t>MH-20</t>
  </si>
  <si>
    <t>MH-21</t>
  </si>
  <si>
    <t>MH-22</t>
  </si>
  <si>
    <t>MH-23</t>
  </si>
  <si>
    <t>MH-24</t>
  </si>
  <si>
    <t>MH-25</t>
  </si>
  <si>
    <t>MH-26</t>
  </si>
  <si>
    <t>MH-27</t>
  </si>
  <si>
    <t>MH-28</t>
  </si>
  <si>
    <t>MH-29</t>
  </si>
  <si>
    <t>MH-30</t>
  </si>
  <si>
    <t>MH-31</t>
  </si>
  <si>
    <t>MH-32</t>
  </si>
  <si>
    <t>MH-33</t>
  </si>
  <si>
    <t>MH-34</t>
  </si>
  <si>
    <t>MH-35</t>
  </si>
  <si>
    <t>MH-36</t>
  </si>
  <si>
    <t>MH-37</t>
  </si>
  <si>
    <t>MH-38</t>
  </si>
  <si>
    <t>MH-39</t>
  </si>
  <si>
    <t>MH-40</t>
  </si>
  <si>
    <t>MH-41</t>
  </si>
  <si>
    <t>MH-42</t>
  </si>
  <si>
    <t>MH-43</t>
  </si>
  <si>
    <t>MH-44</t>
  </si>
  <si>
    <t>MH-45</t>
  </si>
  <si>
    <t>MH-46</t>
  </si>
  <si>
    <t>MH-47</t>
  </si>
  <si>
    <t>MH-48</t>
  </si>
  <si>
    <t>MH-49</t>
  </si>
  <si>
    <t>MH-50</t>
  </si>
  <si>
    <t>MH-51</t>
  </si>
  <si>
    <t>Start Node</t>
  </si>
  <si>
    <t>Set Invert to Start?</t>
  </si>
  <si>
    <t>Invert (Start) (ft)</t>
  </si>
  <si>
    <t>Stop Node</t>
  </si>
  <si>
    <t>Set Invert to Stop?</t>
  </si>
  <si>
    <t>Invert (Stop) (ft)</t>
  </si>
  <si>
    <t>Has User Defined Length?</t>
  </si>
  <si>
    <t>Length (User Defined) (ft)</t>
  </si>
  <si>
    <t>Length (Scaled) (ft)</t>
  </si>
  <si>
    <t>Slope (Calculated) (ft/ft)</t>
  </si>
  <si>
    <t>Section Type</t>
  </si>
  <si>
    <t>Diameter (in)</t>
  </si>
  <si>
    <t>Manning's n</t>
  </si>
  <si>
    <t>Flow (Middle) (cfs)</t>
  </si>
  <si>
    <t>Velocity (ft/s)</t>
  </si>
  <si>
    <t>Depth (Middle) (ft)</t>
  </si>
  <si>
    <t>Capacity (Full Flow) (cfs)</t>
  </si>
  <si>
    <t>Flow / Capacity (Design) (%)</t>
  </si>
  <si>
    <t>Depth/Rise (%)</t>
  </si>
  <si>
    <t>CO-1</t>
  </si>
  <si>
    <t>Circle</t>
  </si>
  <si>
    <t>CO-2</t>
  </si>
  <si>
    <t>CO-3</t>
  </si>
  <si>
    <t>CO-4</t>
  </si>
  <si>
    <t>CO-5</t>
  </si>
  <si>
    <t>CO-6</t>
  </si>
  <si>
    <t>CO-8</t>
  </si>
  <si>
    <t>CO-9</t>
  </si>
  <si>
    <t>CO-10</t>
  </si>
  <si>
    <t>CO-11</t>
  </si>
  <si>
    <t>CO-12</t>
  </si>
  <si>
    <t>CO-13</t>
  </si>
  <si>
    <t>CO-14</t>
  </si>
  <si>
    <t>CO-15</t>
  </si>
  <si>
    <t>CO-16</t>
  </si>
  <si>
    <t>CO-17</t>
  </si>
  <si>
    <t>CO-19</t>
  </si>
  <si>
    <t>CO-20</t>
  </si>
  <si>
    <t>CO-21</t>
  </si>
  <si>
    <t>CO-22</t>
  </si>
  <si>
    <t>CO-23</t>
  </si>
  <si>
    <t>CO-24</t>
  </si>
  <si>
    <t>CO-25</t>
  </si>
  <si>
    <t>CO-26</t>
  </si>
  <si>
    <t>CO-27</t>
  </si>
  <si>
    <t>CO-28</t>
  </si>
  <si>
    <t>CO-29</t>
  </si>
  <si>
    <t>CO-30</t>
  </si>
  <si>
    <t>CO-31</t>
  </si>
  <si>
    <t>CO-32</t>
  </si>
  <si>
    <t>CO-33</t>
  </si>
  <si>
    <t>CO-34</t>
  </si>
  <si>
    <t>CO-35</t>
  </si>
  <si>
    <t>CO-36</t>
  </si>
  <si>
    <t>CO-37</t>
  </si>
  <si>
    <t>CO-38</t>
  </si>
  <si>
    <t>CO-39</t>
  </si>
  <si>
    <t>CO-40</t>
  </si>
  <si>
    <t>CO-41</t>
  </si>
  <si>
    <t>CO-42</t>
  </si>
  <si>
    <t>CO-43</t>
  </si>
  <si>
    <t>CO-44</t>
  </si>
  <si>
    <t>CO-45</t>
  </si>
  <si>
    <t>CO-46</t>
  </si>
  <si>
    <t>CO-47</t>
  </si>
  <si>
    <t>CO-48</t>
  </si>
  <si>
    <t>CO-49</t>
  </si>
  <si>
    <t>CO-50</t>
  </si>
  <si>
    <t>CO-51</t>
  </si>
  <si>
    <t>CO-52</t>
  </si>
  <si>
    <t>CO-53</t>
  </si>
  <si>
    <t>O-1</t>
  </si>
  <si>
    <t>Boundary Condition Type</t>
  </si>
  <si>
    <t>Boundary Element</t>
  </si>
  <si>
    <t>Elevation (User Defined Tailwater) (ft)</t>
  </si>
  <si>
    <t>Elevation-Flow Curve</t>
  </si>
  <si>
    <t>Time-Elevation Curve</t>
  </si>
  <si>
    <t>Cyclic Time-Elevation Curve</t>
  </si>
  <si>
    <t>Tidal Gate?</t>
  </si>
  <si>
    <t>Hydraulic Grade (ft)</t>
  </si>
  <si>
    <t>Free Outfall</t>
  </si>
  <si>
    <t>OUTFALL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</si>
</sst>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theme="7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0" xfId="0" applyFont="1" applyFill="1" applyAlignment="1">
      <alignment horizontal="center"/>
    </xf>
    <xf numFmtId="16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7" fillId="0" borderId="0" xfId="0" applyFont="1"/>
    <xf numFmtId="0" fontId="0" fillId="3" borderId="0" xfId="0" applyFill="1"/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Border="1" applyAlignment="1">
      <alignment horizontal="center"/>
    </xf>
    <xf numFmtId="0" fontId="5" fillId="3" borderId="0" xfId="0" applyFont="1" applyFill="1"/>
    <xf numFmtId="16" fontId="5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7" fontId="5" fillId="3" borderId="0" xfId="0" applyNumberFormat="1" applyFont="1" applyFill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8" fillId="0" borderId="0" xfId="0" applyFont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Border="1" applyAlignment="1">
      <alignment horizontal="center"/>
    </xf>
    <xf numFmtId="0" fontId="1" fillId="3" borderId="0" xfId="0" applyFont="1" applyFill="1"/>
    <xf numFmtId="0" fontId="5" fillId="3" borderId="0" xfId="0" applyFont="1" applyFill="1" applyBorder="1" applyAlignment="1">
      <alignment horizontal="center"/>
    </xf>
    <xf numFmtId="0" fontId="9" fillId="0" borderId="0" xfId="0" applyFont="1"/>
    <xf numFmtId="0" fontId="9" fillId="0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Border="1" applyAlignment="1">
      <alignment horizontal="center"/>
    </xf>
    <xf numFmtId="0" fontId="9" fillId="3" borderId="0" xfId="0" applyFont="1" applyFill="1"/>
    <xf numFmtId="0" fontId="6" fillId="4" borderId="0" xfId="0" applyFont="1" applyFill="1"/>
    <xf numFmtId="2" fontId="6" fillId="4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0" xfId="0" applyFill="1"/>
    <xf numFmtId="0" fontId="2" fillId="0" borderId="0" xfId="0" applyFont="1"/>
    <xf numFmtId="2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10" fillId="3" borderId="0" xfId="0" applyFont="1" applyFill="1"/>
    <xf numFmtId="0" fontId="10" fillId="3" borderId="0" xfId="0" applyFont="1" applyFill="1" applyAlignment="1">
      <alignment horizontal="center"/>
    </xf>
    <xf numFmtId="0" fontId="10" fillId="3" borderId="0" xfId="0" applyFont="1" applyFill="1" applyBorder="1" applyAlignment="1">
      <alignment horizontal="center"/>
    </xf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1" fillId="3" borderId="0" xfId="0" applyFont="1" applyFill="1"/>
    <xf numFmtId="0" fontId="0" fillId="5" borderId="0" xfId="0" applyFill="1"/>
    <xf numFmtId="0" fontId="4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432153</xdr:colOff>
      <xdr:row>63</xdr:row>
      <xdr:rowOff>132291</xdr:rowOff>
    </xdr:from>
    <xdr:to>
      <xdr:col>25</xdr:col>
      <xdr:colOff>516156</xdr:colOff>
      <xdr:row>81</xdr:row>
      <xdr:rowOff>38689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5625" y="11615208"/>
          <a:ext cx="3686528" cy="329306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0</xdr:colOff>
      <xdr:row>211</xdr:row>
      <xdr:rowOff>0</xdr:rowOff>
    </xdr:from>
    <xdr:to>
      <xdr:col>28</xdr:col>
      <xdr:colOff>62299</xdr:colOff>
      <xdr:row>231</xdr:row>
      <xdr:rowOff>100302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585765" y="39452176"/>
          <a:ext cx="5702593" cy="3835597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211</xdr:row>
      <xdr:rowOff>0</xdr:rowOff>
    </xdr:from>
    <xdr:to>
      <xdr:col>38</xdr:col>
      <xdr:colOff>151197</xdr:colOff>
      <xdr:row>230</xdr:row>
      <xdr:rowOff>109258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838647" y="39452176"/>
          <a:ext cx="5664491" cy="3657788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234</xdr:row>
      <xdr:rowOff>0</xdr:rowOff>
    </xdr:from>
    <xdr:to>
      <xdr:col>28</xdr:col>
      <xdr:colOff>100401</xdr:colOff>
      <xdr:row>254</xdr:row>
      <xdr:rowOff>81252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85765" y="43747765"/>
          <a:ext cx="5740695" cy="3816546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234</xdr:row>
      <xdr:rowOff>0</xdr:rowOff>
    </xdr:from>
    <xdr:to>
      <xdr:col>38</xdr:col>
      <xdr:colOff>94044</xdr:colOff>
      <xdr:row>253</xdr:row>
      <xdr:rowOff>153711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838647" y="43747765"/>
          <a:ext cx="5607338" cy="370224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257</xdr:row>
      <xdr:rowOff>0</xdr:rowOff>
    </xdr:from>
    <xdr:to>
      <xdr:col>28</xdr:col>
      <xdr:colOff>5146</xdr:colOff>
      <xdr:row>276</xdr:row>
      <xdr:rowOff>172762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585765" y="48043353"/>
          <a:ext cx="5645440" cy="3721291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257</xdr:row>
      <xdr:rowOff>0</xdr:rowOff>
    </xdr:from>
    <xdr:to>
      <xdr:col>39</xdr:col>
      <xdr:colOff>429563</xdr:colOff>
      <xdr:row>274</xdr:row>
      <xdr:rowOff>15476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451235" y="48043353"/>
          <a:ext cx="5942857" cy="3190476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280</xdr:row>
      <xdr:rowOff>0</xdr:rowOff>
    </xdr:from>
    <xdr:to>
      <xdr:col>26</xdr:col>
      <xdr:colOff>119353</xdr:colOff>
      <xdr:row>306</xdr:row>
      <xdr:rowOff>182212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585765" y="52338941"/>
          <a:ext cx="4400000" cy="503809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e2" displayName="Table2" ref="AB65:AD86" totalsRowShown="0">
  <autoFilter ref="AB65:AD86"/>
  <tableColumns count="3">
    <tableColumn id="1" name="q/Q"/>
    <tableColumn id="2" name="d/D"/>
    <tableColumn id="3" name="v/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04"/>
  <sheetViews>
    <sheetView tabSelected="1" topLeftCell="T269" zoomScale="85" workbookViewId="0">
      <selection activeCell="AC289" sqref="AC289"/>
    </sheetView>
  </sheetViews>
  <sheetFormatPr defaultRowHeight="14.5" x14ac:dyDescent="0.35"/>
  <cols>
    <col min="6" max="6" width="19.1796875" customWidth="1"/>
    <col min="7" max="7" width="11.1796875" customWidth="1"/>
    <col min="8" max="8" width="10.6328125" customWidth="1"/>
    <col min="9" max="9" width="13.6328125" customWidth="1"/>
    <col min="10" max="10" width="12.81640625" customWidth="1"/>
    <col min="14" max="14" width="22.81640625" customWidth="1"/>
    <col min="15" max="15" width="13.1796875" customWidth="1"/>
    <col min="16" max="16" width="14.81640625" customWidth="1"/>
    <col min="17" max="17" width="12.1796875" customWidth="1"/>
    <col min="18" max="18" width="14.453125" customWidth="1"/>
    <col min="19" max="19" width="19.1796875" customWidth="1"/>
    <col min="22" max="22" width="17.26953125" customWidth="1"/>
    <col min="23" max="23" width="14.7265625" style="1" customWidth="1"/>
    <col min="24" max="28" width="9.7265625" customWidth="1"/>
  </cols>
  <sheetData>
    <row r="1" spans="1:36" x14ac:dyDescent="0.35">
      <c r="A1" t="s">
        <v>91</v>
      </c>
    </row>
    <row r="2" spans="1:36" x14ac:dyDescent="0.35">
      <c r="A2" t="s">
        <v>90</v>
      </c>
    </row>
    <row r="4" spans="1:36" x14ac:dyDescent="0.35">
      <c r="A4" s="68" t="s">
        <v>0</v>
      </c>
      <c r="B4" s="5">
        <v>1</v>
      </c>
      <c r="C4" s="5">
        <v>2</v>
      </c>
      <c r="D4" s="5">
        <v>3</v>
      </c>
      <c r="E4" s="5">
        <v>4</v>
      </c>
      <c r="F4" s="30"/>
      <c r="G4" s="30"/>
      <c r="H4" s="30"/>
      <c r="I4" s="30"/>
      <c r="J4" s="30"/>
      <c r="K4" s="5">
        <v>5</v>
      </c>
      <c r="L4" s="5">
        <v>6</v>
      </c>
      <c r="M4" s="5">
        <v>7</v>
      </c>
      <c r="N4" s="5">
        <v>8</v>
      </c>
      <c r="O4" s="5">
        <v>9</v>
      </c>
      <c r="P4" s="5">
        <v>10</v>
      </c>
      <c r="Q4" s="5">
        <v>11</v>
      </c>
      <c r="R4" s="5">
        <v>12</v>
      </c>
      <c r="S4" s="5">
        <v>13</v>
      </c>
      <c r="T4" s="5">
        <v>14</v>
      </c>
      <c r="U4" s="5">
        <v>15</v>
      </c>
      <c r="V4" s="5">
        <v>16</v>
      </c>
      <c r="W4" s="13">
        <v>17</v>
      </c>
      <c r="X4" s="5">
        <v>18</v>
      </c>
      <c r="Y4" s="5">
        <v>19</v>
      </c>
      <c r="Z4" s="5">
        <v>20</v>
      </c>
      <c r="AA4" s="5">
        <v>21</v>
      </c>
      <c r="AB4" s="5">
        <v>22</v>
      </c>
      <c r="AC4" s="5">
        <v>23</v>
      </c>
      <c r="AD4" s="5">
        <v>24</v>
      </c>
      <c r="AE4" s="5">
        <v>25</v>
      </c>
      <c r="AF4" s="5">
        <v>26</v>
      </c>
      <c r="AG4" s="5">
        <v>27</v>
      </c>
      <c r="AH4" s="5">
        <v>28</v>
      </c>
      <c r="AI4" s="5">
        <v>29</v>
      </c>
      <c r="AJ4" s="5">
        <v>30</v>
      </c>
    </row>
    <row r="5" spans="1:36" x14ac:dyDescent="0.35">
      <c r="A5" s="69"/>
      <c r="B5" s="68" t="s">
        <v>1</v>
      </c>
      <c r="C5" s="66" t="s">
        <v>2</v>
      </c>
      <c r="D5" s="67"/>
      <c r="E5" s="68" t="s">
        <v>3</v>
      </c>
      <c r="F5" s="28"/>
      <c r="G5" s="28"/>
      <c r="H5" s="28"/>
      <c r="I5" s="28"/>
      <c r="J5" s="28"/>
      <c r="K5" s="72" t="s">
        <v>26</v>
      </c>
      <c r="L5" s="72"/>
      <c r="M5" s="72"/>
      <c r="N5" s="71" t="s">
        <v>74</v>
      </c>
      <c r="O5" s="71" t="s">
        <v>4</v>
      </c>
      <c r="P5" s="71" t="s">
        <v>5</v>
      </c>
      <c r="Q5" s="71" t="s">
        <v>6</v>
      </c>
      <c r="R5" s="68" t="s">
        <v>92</v>
      </c>
      <c r="S5" s="68" t="s">
        <v>73</v>
      </c>
      <c r="T5" s="71" t="s">
        <v>20</v>
      </c>
      <c r="U5" s="71"/>
      <c r="V5" s="71" t="s">
        <v>75</v>
      </c>
      <c r="W5" s="71" t="s">
        <v>76</v>
      </c>
      <c r="X5" s="68" t="s">
        <v>77</v>
      </c>
      <c r="Y5" s="68" t="s">
        <v>78</v>
      </c>
      <c r="Z5" s="68" t="s">
        <v>93</v>
      </c>
      <c r="AA5" s="68" t="s">
        <v>85</v>
      </c>
      <c r="AB5" s="68" t="s">
        <v>86</v>
      </c>
      <c r="AC5" s="68" t="s">
        <v>87</v>
      </c>
      <c r="AD5" s="68" t="s">
        <v>88</v>
      </c>
      <c r="AE5" s="68" t="s">
        <v>79</v>
      </c>
      <c r="AF5" s="71" t="s">
        <v>80</v>
      </c>
      <c r="AG5" s="71"/>
      <c r="AH5" s="71" t="s">
        <v>83</v>
      </c>
      <c r="AI5" s="71"/>
      <c r="AJ5" s="68" t="s">
        <v>84</v>
      </c>
    </row>
    <row r="6" spans="1:36" x14ac:dyDescent="0.35">
      <c r="A6" s="69"/>
      <c r="B6" s="69"/>
      <c r="C6" s="5" t="s">
        <v>9</v>
      </c>
      <c r="D6" s="5" t="s">
        <v>10</v>
      </c>
      <c r="E6" s="70"/>
      <c r="F6" s="29" t="s">
        <v>99</v>
      </c>
      <c r="G6" s="29" t="s">
        <v>4</v>
      </c>
      <c r="H6" s="29" t="s">
        <v>100</v>
      </c>
      <c r="I6" s="29" t="s">
        <v>102</v>
      </c>
      <c r="J6" s="29" t="s">
        <v>101</v>
      </c>
      <c r="K6" s="5" t="s">
        <v>18</v>
      </c>
      <c r="L6" s="5" t="s">
        <v>7</v>
      </c>
      <c r="M6" s="5" t="s">
        <v>19</v>
      </c>
      <c r="N6" s="71"/>
      <c r="O6" s="71"/>
      <c r="P6" s="71"/>
      <c r="Q6" s="71"/>
      <c r="R6" s="70"/>
      <c r="S6" s="70"/>
      <c r="T6" s="5" t="s">
        <v>22</v>
      </c>
      <c r="U6" s="5" t="s">
        <v>23</v>
      </c>
      <c r="V6" s="71"/>
      <c r="W6" s="71"/>
      <c r="X6" s="70"/>
      <c r="Y6" s="70"/>
      <c r="Z6" s="70"/>
      <c r="AA6" s="70"/>
      <c r="AB6" s="70"/>
      <c r="AC6" s="70"/>
      <c r="AD6" s="70"/>
      <c r="AE6" s="70"/>
      <c r="AF6" s="5" t="s">
        <v>81</v>
      </c>
      <c r="AG6" s="5" t="s">
        <v>82</v>
      </c>
      <c r="AH6" s="5" t="s">
        <v>81</v>
      </c>
      <c r="AI6" s="5" t="s">
        <v>82</v>
      </c>
      <c r="AJ6" s="69"/>
    </row>
    <row r="7" spans="1:36" x14ac:dyDescent="0.35">
      <c r="A7" s="70"/>
      <c r="B7" s="70"/>
      <c r="C7" s="5" t="s">
        <v>8</v>
      </c>
      <c r="D7" s="5" t="s">
        <v>8</v>
      </c>
      <c r="E7" s="5" t="s">
        <v>25</v>
      </c>
      <c r="F7" s="30" t="s">
        <v>24</v>
      </c>
      <c r="G7" s="30" t="s">
        <v>24</v>
      </c>
      <c r="H7" s="30" t="s">
        <v>24</v>
      </c>
      <c r="I7" s="30"/>
      <c r="J7" s="30" t="s">
        <v>24</v>
      </c>
      <c r="K7" s="5" t="s">
        <v>24</v>
      </c>
      <c r="L7" s="5" t="s">
        <v>24</v>
      </c>
      <c r="M7" s="5" t="s">
        <v>24</v>
      </c>
      <c r="N7" s="5" t="s">
        <v>72</v>
      </c>
      <c r="O7" s="5" t="s">
        <v>72</v>
      </c>
      <c r="P7" s="5" t="s">
        <v>72</v>
      </c>
      <c r="Q7" s="5" t="s">
        <v>72</v>
      </c>
      <c r="R7" s="5" t="s">
        <v>72</v>
      </c>
      <c r="S7" s="14" t="s">
        <v>71</v>
      </c>
      <c r="T7" s="14" t="s">
        <v>21</v>
      </c>
      <c r="U7" s="14" t="s">
        <v>21</v>
      </c>
      <c r="V7" s="14" t="s">
        <v>21</v>
      </c>
      <c r="W7" s="14" t="s">
        <v>25</v>
      </c>
      <c r="X7" s="14" t="s">
        <v>25</v>
      </c>
      <c r="Y7" s="14" t="s">
        <v>72</v>
      </c>
      <c r="Z7" s="5" t="s">
        <v>97</v>
      </c>
      <c r="AA7" s="14" t="s">
        <v>94</v>
      </c>
      <c r="AB7" s="14" t="s">
        <v>25</v>
      </c>
      <c r="AC7" s="14"/>
      <c r="AD7" s="14" t="s">
        <v>71</v>
      </c>
      <c r="AE7" s="14" t="s">
        <v>25</v>
      </c>
      <c r="AF7" s="14" t="s">
        <v>25</v>
      </c>
      <c r="AG7" s="14" t="s">
        <v>25</v>
      </c>
      <c r="AH7" s="14" t="s">
        <v>25</v>
      </c>
      <c r="AI7" s="14" t="s">
        <v>25</v>
      </c>
      <c r="AJ7" s="70"/>
    </row>
    <row r="8" spans="1:36" x14ac:dyDescent="0.35">
      <c r="A8" s="4"/>
      <c r="B8" s="4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36" s="16" customFormat="1" x14ac:dyDescent="0.35">
      <c r="A9" s="16">
        <v>1</v>
      </c>
      <c r="B9" s="17" t="s">
        <v>27</v>
      </c>
      <c r="C9" s="18">
        <v>28</v>
      </c>
      <c r="D9" s="18">
        <v>29</v>
      </c>
      <c r="E9" s="18">
        <v>268</v>
      </c>
      <c r="F9" s="18">
        <f>(K9/2.25)*0.8</f>
        <v>3.2</v>
      </c>
      <c r="G9" s="18">
        <f>0.1*F9</f>
        <v>0.32000000000000006</v>
      </c>
      <c r="H9" s="18">
        <f>G9+2*(4*F9)</f>
        <v>25.92</v>
      </c>
      <c r="I9" s="18">
        <v>84</v>
      </c>
      <c r="J9" s="18">
        <f>H9/I9</f>
        <v>0.30857142857142861</v>
      </c>
      <c r="K9" s="18">
        <v>9</v>
      </c>
      <c r="L9" s="18">
        <v>0</v>
      </c>
      <c r="M9" s="19">
        <f t="shared" ref="M9:M51" si="0">K9+L9</f>
        <v>9</v>
      </c>
      <c r="N9" s="18">
        <f>(M9*0.002228*0.8)/2.25</f>
        <v>7.1295999999999998E-3</v>
      </c>
      <c r="O9" s="18">
        <f>0.1*N9</f>
        <v>7.1296E-4</v>
      </c>
      <c r="P9" s="18">
        <f>4*N9</f>
        <v>2.8518399999999999E-2</v>
      </c>
      <c r="Q9" s="18">
        <f>P9</f>
        <v>2.8518399999999999E-2</v>
      </c>
      <c r="R9" s="18">
        <f>O9+(2*P9)</f>
        <v>5.7749759999999997E-2</v>
      </c>
      <c r="S9" s="18">
        <v>2.5</v>
      </c>
      <c r="T9" s="18">
        <f>(SQRT((4*R9)/(S9*3.1416)))*12</f>
        <v>2.0579787453773064</v>
      </c>
      <c r="U9" s="18">
        <v>9</v>
      </c>
      <c r="V9" s="18">
        <v>0</v>
      </c>
      <c r="W9" s="18">
        <f>U9/12+1</f>
        <v>1.75</v>
      </c>
      <c r="X9" s="16">
        <f>((S9*0.013)/(1.49*(U9/48)^(2/3)))^2</f>
        <v>4.433286745054563E-3</v>
      </c>
      <c r="Y9" s="16">
        <f>((3.1416*(U9/12)^2)*S9)/4</f>
        <v>1.1044687500000001</v>
      </c>
      <c r="Z9" s="16">
        <f>R9/Y9</f>
        <v>5.2287364400305569E-2</v>
      </c>
      <c r="AA9" s="16">
        <f>VLOOKUP(Z9,Table2[#All],2,TRUE)</f>
        <v>7.4999999999999997E-2</v>
      </c>
      <c r="AB9" s="16">
        <f>AA9*(U9/12)</f>
        <v>5.6249999999999994E-2</v>
      </c>
      <c r="AC9" s="16">
        <f>VLOOKUP(AA9,Table2[#All],3,TRUE)</f>
        <v>0.25</v>
      </c>
      <c r="AD9" s="16">
        <f>AC9*S9</f>
        <v>0.625</v>
      </c>
      <c r="AE9" s="16">
        <f>X9*E9</f>
        <v>1.1881208476746228</v>
      </c>
      <c r="AF9" s="16">
        <v>100</v>
      </c>
      <c r="AG9" s="16">
        <v>100</v>
      </c>
      <c r="AH9" s="16">
        <f>AF9-3-(U9/12)-(W9/12)</f>
        <v>96.104166666666671</v>
      </c>
      <c r="AI9" s="16">
        <f>AH9-AE9</f>
        <v>94.916045818992046</v>
      </c>
      <c r="AJ9" s="16" t="s">
        <v>98</v>
      </c>
    </row>
    <row r="10" spans="1:36" s="16" customFormat="1" x14ac:dyDescent="0.35">
      <c r="A10" s="16">
        <v>2</v>
      </c>
      <c r="B10" s="17" t="s">
        <v>28</v>
      </c>
      <c r="C10" s="18">
        <v>29</v>
      </c>
      <c r="D10" s="18">
        <v>30</v>
      </c>
      <c r="E10" s="18">
        <v>161</v>
      </c>
      <c r="F10" s="18">
        <f t="shared" ref="F10:F60" si="1">(K10/2.25)*0.8</f>
        <v>3.5555555555555558</v>
      </c>
      <c r="G10" s="18">
        <f t="shared" ref="G10:G60" si="2">0.1*F10</f>
        <v>0.35555555555555562</v>
      </c>
      <c r="H10" s="18">
        <f t="shared" ref="H10:H60" si="3">G10+2*(4*F10)</f>
        <v>28.8</v>
      </c>
      <c r="I10" s="18">
        <v>91</v>
      </c>
      <c r="J10" s="18">
        <f t="shared" ref="J10:J60" si="4">H10/I10</f>
        <v>0.31648351648351647</v>
      </c>
      <c r="K10" s="18">
        <v>10</v>
      </c>
      <c r="L10" s="18">
        <v>9</v>
      </c>
      <c r="M10" s="19">
        <f t="shared" si="0"/>
        <v>19</v>
      </c>
      <c r="N10" s="18">
        <f t="shared" ref="N10:N60" si="5">(M10*0.002228*0.8)/2.25</f>
        <v>1.5051377777777779E-2</v>
      </c>
      <c r="O10" s="18">
        <f t="shared" ref="O10:O60" si="6">0.1*N10</f>
        <v>1.5051377777777781E-3</v>
      </c>
      <c r="P10" s="18">
        <f t="shared" ref="P10:P60" si="7">4*N10</f>
        <v>6.0205511111111117E-2</v>
      </c>
      <c r="Q10" s="18">
        <f t="shared" ref="Q10:Q60" si="8">P10</f>
        <v>6.0205511111111117E-2</v>
      </c>
      <c r="R10" s="18">
        <f t="shared" ref="R10:R60" si="9">O10+(2*P10)</f>
        <v>0.12191616000000001</v>
      </c>
      <c r="S10" s="18">
        <v>2.5</v>
      </c>
      <c r="T10" s="18">
        <f t="shared" ref="T10:T60" si="10">(SQRT((4*R10)/(S10*3.1416)))*12</f>
        <v>2.9901737930181005</v>
      </c>
      <c r="U10" s="18">
        <v>9</v>
      </c>
      <c r="V10" s="18">
        <f>U10-U9</f>
        <v>0</v>
      </c>
      <c r="W10" s="18">
        <f t="shared" ref="W10:W60" si="11">U10/12+1</f>
        <v>1.75</v>
      </c>
      <c r="X10" s="16">
        <f t="shared" ref="X10:X60" si="12">((S10*0.013)/(1.49*(U10/48)^(2/3)))^2</f>
        <v>4.433286745054563E-3</v>
      </c>
      <c r="Y10" s="16">
        <f t="shared" ref="Y10:Y60" si="13">((3.1416*(U10/12)^2)*S10)/4</f>
        <v>1.1044687500000001</v>
      </c>
      <c r="Z10" s="16">
        <f t="shared" ref="Z10:Z60" si="14">R10/Y10</f>
        <v>0.11038443595620066</v>
      </c>
      <c r="AA10" s="16">
        <f>VLOOKUP(Z10,Table2[#All],2,TRUE)</f>
        <v>0.25</v>
      </c>
      <c r="AB10" s="16">
        <f t="shared" ref="AB10:AB60" si="15">AA10*(U10/12)</f>
        <v>0.1875</v>
      </c>
      <c r="AC10" s="16">
        <f>VLOOKUP(AA10,Table2[#All],3,TRUE)</f>
        <v>0.7</v>
      </c>
      <c r="AD10" s="16">
        <f t="shared" ref="AD10:AD60" si="16">AC10*S10</f>
        <v>1.75</v>
      </c>
      <c r="AE10" s="16">
        <f t="shared" ref="AE10:AE60" si="17">X10*E10</f>
        <v>0.71375916595378464</v>
      </c>
      <c r="AF10" s="16">
        <v>100</v>
      </c>
      <c r="AG10" s="16">
        <v>100</v>
      </c>
      <c r="AH10" s="16">
        <f>AI9-(V10/12)</f>
        <v>94.916045818992046</v>
      </c>
      <c r="AI10" s="16">
        <f t="shared" ref="AI10:AI60" si="18">AH10-AE10</f>
        <v>94.202286653038257</v>
      </c>
      <c r="AJ10" s="16" t="s">
        <v>103</v>
      </c>
    </row>
    <row r="11" spans="1:36" s="16" customFormat="1" x14ac:dyDescent="0.35">
      <c r="A11" s="16">
        <v>3</v>
      </c>
      <c r="B11" s="17" t="s">
        <v>29</v>
      </c>
      <c r="C11" s="18">
        <v>30</v>
      </c>
      <c r="D11" s="18">
        <v>31</v>
      </c>
      <c r="E11" s="18">
        <v>156</v>
      </c>
      <c r="F11" s="18">
        <f t="shared" si="1"/>
        <v>3.2</v>
      </c>
      <c r="G11" s="18">
        <f t="shared" si="2"/>
        <v>0.32000000000000006</v>
      </c>
      <c r="H11" s="18">
        <f t="shared" si="3"/>
        <v>25.92</v>
      </c>
      <c r="I11" s="18">
        <v>78</v>
      </c>
      <c r="J11" s="18">
        <f t="shared" si="4"/>
        <v>0.3323076923076923</v>
      </c>
      <c r="K11" s="18">
        <v>9</v>
      </c>
      <c r="L11" s="18">
        <v>25</v>
      </c>
      <c r="M11" s="19">
        <f t="shared" si="0"/>
        <v>34</v>
      </c>
      <c r="N11" s="18">
        <f t="shared" si="5"/>
        <v>2.6934044444444447E-2</v>
      </c>
      <c r="O11" s="18">
        <f t="shared" si="6"/>
        <v>2.6934044444444447E-3</v>
      </c>
      <c r="P11" s="18">
        <f t="shared" si="7"/>
        <v>0.10773617777777779</v>
      </c>
      <c r="Q11" s="18">
        <f t="shared" si="8"/>
        <v>0.10773617777777779</v>
      </c>
      <c r="R11" s="18">
        <f t="shared" si="9"/>
        <v>0.21816576000000001</v>
      </c>
      <c r="S11" s="18">
        <v>2.5</v>
      </c>
      <c r="T11" s="18">
        <f t="shared" si="10"/>
        <v>3.9999916883030533</v>
      </c>
      <c r="U11" s="18">
        <v>9</v>
      </c>
      <c r="V11" s="18">
        <f t="shared" ref="V11:V60" si="19">U11-U10</f>
        <v>0</v>
      </c>
      <c r="W11" s="18">
        <f t="shared" si="11"/>
        <v>1.75</v>
      </c>
      <c r="X11" s="16">
        <f t="shared" si="12"/>
        <v>4.433286745054563E-3</v>
      </c>
      <c r="Y11" s="16">
        <f t="shared" si="13"/>
        <v>1.1044687500000001</v>
      </c>
      <c r="Z11" s="16">
        <f t="shared" si="14"/>
        <v>0.19753004329004328</v>
      </c>
      <c r="AA11" s="16">
        <f>VLOOKUP(Z11,Table2[#All],2,TRUE)</f>
        <v>0.3</v>
      </c>
      <c r="AB11" s="16">
        <f t="shared" si="15"/>
        <v>0.22499999999999998</v>
      </c>
      <c r="AC11" s="16">
        <f>VLOOKUP(AA11,Table2[#All],3,TRUE)</f>
        <v>0.72499999999999998</v>
      </c>
      <c r="AD11" s="16">
        <f t="shared" si="16"/>
        <v>1.8125</v>
      </c>
      <c r="AE11" s="16">
        <f t="shared" si="17"/>
        <v>0.69159273222851181</v>
      </c>
      <c r="AF11" s="16">
        <v>100</v>
      </c>
      <c r="AG11" s="16">
        <v>100</v>
      </c>
      <c r="AH11" s="16">
        <f t="shared" ref="AH11:AH20" si="20">AI10-(V11/12)</f>
        <v>94.202286653038257</v>
      </c>
      <c r="AI11" s="16">
        <f t="shared" si="18"/>
        <v>93.510693920809743</v>
      </c>
      <c r="AJ11" s="16" t="s">
        <v>103</v>
      </c>
    </row>
    <row r="12" spans="1:36" s="16" customFormat="1" x14ac:dyDescent="0.35">
      <c r="A12" s="16">
        <v>4</v>
      </c>
      <c r="B12" s="17" t="s">
        <v>30</v>
      </c>
      <c r="C12" s="18">
        <v>31</v>
      </c>
      <c r="D12" s="18">
        <v>32</v>
      </c>
      <c r="E12" s="18">
        <v>269</v>
      </c>
      <c r="F12" s="18">
        <f t="shared" si="1"/>
        <v>1.4222222222222223</v>
      </c>
      <c r="G12" s="18">
        <f t="shared" si="2"/>
        <v>0.14222222222222222</v>
      </c>
      <c r="H12" s="18">
        <f t="shared" si="3"/>
        <v>11.52</v>
      </c>
      <c r="I12" s="18">
        <v>36</v>
      </c>
      <c r="J12" s="18">
        <f t="shared" si="4"/>
        <v>0.32</v>
      </c>
      <c r="K12" s="18">
        <v>4</v>
      </c>
      <c r="L12" s="18">
        <v>43</v>
      </c>
      <c r="M12" s="19">
        <f t="shared" si="0"/>
        <v>47</v>
      </c>
      <c r="N12" s="18">
        <f t="shared" si="5"/>
        <v>3.7232355555555562E-2</v>
      </c>
      <c r="O12" s="18">
        <f t="shared" si="6"/>
        <v>3.7232355555555565E-3</v>
      </c>
      <c r="P12" s="18">
        <f t="shared" si="7"/>
        <v>0.14892942222222225</v>
      </c>
      <c r="Q12" s="18">
        <f t="shared" si="8"/>
        <v>0.14892942222222225</v>
      </c>
      <c r="R12" s="18">
        <f t="shared" si="9"/>
        <v>0.30158208000000003</v>
      </c>
      <c r="S12" s="18">
        <v>2.5</v>
      </c>
      <c r="T12" s="18">
        <f t="shared" si="10"/>
        <v>4.7029304844245008</v>
      </c>
      <c r="U12" s="18">
        <v>9</v>
      </c>
      <c r="V12" s="18">
        <f t="shared" si="19"/>
        <v>0</v>
      </c>
      <c r="W12" s="18">
        <f t="shared" si="11"/>
        <v>1.75</v>
      </c>
      <c r="X12" s="16">
        <f t="shared" si="12"/>
        <v>4.433286745054563E-3</v>
      </c>
      <c r="Y12" s="16">
        <f t="shared" si="13"/>
        <v>1.1044687500000001</v>
      </c>
      <c r="Z12" s="16">
        <f t="shared" si="14"/>
        <v>0.27305623631270692</v>
      </c>
      <c r="AA12" s="16">
        <f>VLOOKUP(Z12,Table2[#All],2,TRUE)</f>
        <v>0.4</v>
      </c>
      <c r="AB12" s="16">
        <f t="shared" si="15"/>
        <v>0.30000000000000004</v>
      </c>
      <c r="AC12" s="16">
        <f>VLOOKUP(AA12,Table2[#All],3,TRUE)</f>
        <v>0.8</v>
      </c>
      <c r="AD12" s="16">
        <f t="shared" si="16"/>
        <v>2</v>
      </c>
      <c r="AE12" s="16">
        <f t="shared" si="17"/>
        <v>1.1925541344196775</v>
      </c>
      <c r="AF12" s="16">
        <v>100</v>
      </c>
      <c r="AG12" s="16">
        <v>100</v>
      </c>
      <c r="AH12" s="16">
        <f t="shared" si="20"/>
        <v>93.510693920809743</v>
      </c>
      <c r="AI12" s="16">
        <f t="shared" si="18"/>
        <v>92.318139786390063</v>
      </c>
      <c r="AJ12" s="16" t="s">
        <v>104</v>
      </c>
    </row>
    <row r="13" spans="1:36" s="16" customFormat="1" x14ac:dyDescent="0.35">
      <c r="A13" s="16">
        <v>5</v>
      </c>
      <c r="B13" s="17" t="s">
        <v>31</v>
      </c>
      <c r="C13" s="18">
        <v>32</v>
      </c>
      <c r="D13" s="18">
        <v>33</v>
      </c>
      <c r="E13" s="18">
        <v>278</v>
      </c>
      <c r="F13" s="18">
        <f t="shared" si="1"/>
        <v>3.5555555555555558</v>
      </c>
      <c r="G13" s="18">
        <f t="shared" si="2"/>
        <v>0.35555555555555562</v>
      </c>
      <c r="H13" s="18">
        <f t="shared" si="3"/>
        <v>28.8</v>
      </c>
      <c r="I13" s="18">
        <v>91</v>
      </c>
      <c r="J13" s="18">
        <f t="shared" si="4"/>
        <v>0.31648351648351647</v>
      </c>
      <c r="K13" s="18">
        <v>10</v>
      </c>
      <c r="L13" s="18">
        <v>47</v>
      </c>
      <c r="M13" s="19">
        <f t="shared" si="0"/>
        <v>57</v>
      </c>
      <c r="N13" s="18">
        <f t="shared" si="5"/>
        <v>4.5154133333333332E-2</v>
      </c>
      <c r="O13" s="18">
        <f t="shared" si="6"/>
        <v>4.5154133333333334E-3</v>
      </c>
      <c r="P13" s="18">
        <f t="shared" si="7"/>
        <v>0.18061653333333333</v>
      </c>
      <c r="Q13" s="18">
        <f t="shared" si="8"/>
        <v>0.18061653333333333</v>
      </c>
      <c r="R13" s="18">
        <f t="shared" si="9"/>
        <v>0.36574847999999999</v>
      </c>
      <c r="S13" s="18">
        <v>2.5</v>
      </c>
      <c r="T13" s="18">
        <f t="shared" si="10"/>
        <v>5.1791329329682938</v>
      </c>
      <c r="U13" s="18">
        <v>9</v>
      </c>
      <c r="V13" s="18">
        <f t="shared" si="19"/>
        <v>0</v>
      </c>
      <c r="W13" s="18">
        <f t="shared" si="11"/>
        <v>1.75</v>
      </c>
      <c r="X13" s="16">
        <f t="shared" si="12"/>
        <v>4.433286745054563E-3</v>
      </c>
      <c r="Y13" s="16">
        <f t="shared" si="13"/>
        <v>1.1044687500000001</v>
      </c>
      <c r="Z13" s="16">
        <f t="shared" si="14"/>
        <v>0.33115330786860192</v>
      </c>
      <c r="AA13" s="16">
        <f>VLOOKUP(Z13,Table2[#All],2,TRUE)</f>
        <v>0.42499999999999999</v>
      </c>
      <c r="AB13" s="16">
        <f t="shared" si="15"/>
        <v>0.31874999999999998</v>
      </c>
      <c r="AC13" s="16">
        <f>VLOOKUP(AA13,Table2[#All],3,TRUE)</f>
        <v>0.8</v>
      </c>
      <c r="AD13" s="16">
        <f t="shared" si="16"/>
        <v>2</v>
      </c>
      <c r="AE13" s="16">
        <f t="shared" si="17"/>
        <v>1.2324537151251684</v>
      </c>
      <c r="AF13" s="16">
        <v>100</v>
      </c>
      <c r="AG13" s="16">
        <v>100</v>
      </c>
      <c r="AH13" s="16">
        <f t="shared" si="20"/>
        <v>92.318139786390063</v>
      </c>
      <c r="AI13" s="16">
        <f t="shared" si="18"/>
        <v>91.085686071264888</v>
      </c>
      <c r="AJ13" s="16" t="s">
        <v>104</v>
      </c>
    </row>
    <row r="14" spans="1:36" s="16" customFormat="1" x14ac:dyDescent="0.35">
      <c r="A14" s="16">
        <v>6</v>
      </c>
      <c r="B14" s="17" t="s">
        <v>32</v>
      </c>
      <c r="C14" s="18">
        <v>33</v>
      </c>
      <c r="D14" s="18">
        <v>34</v>
      </c>
      <c r="E14" s="18">
        <v>791</v>
      </c>
      <c r="F14" s="18">
        <f t="shared" si="1"/>
        <v>2.8444444444444446</v>
      </c>
      <c r="G14" s="18">
        <f t="shared" si="2"/>
        <v>0.28444444444444444</v>
      </c>
      <c r="H14" s="18">
        <f t="shared" si="3"/>
        <v>23.04</v>
      </c>
      <c r="I14" s="18">
        <v>70</v>
      </c>
      <c r="J14" s="18">
        <f t="shared" si="4"/>
        <v>0.32914285714285713</v>
      </c>
      <c r="K14" s="18">
        <v>8</v>
      </c>
      <c r="L14" s="18">
        <v>57</v>
      </c>
      <c r="M14" s="19">
        <f t="shared" si="0"/>
        <v>65</v>
      </c>
      <c r="N14" s="18">
        <f t="shared" si="5"/>
        <v>5.1491555555555561E-2</v>
      </c>
      <c r="O14" s="18">
        <f t="shared" si="6"/>
        <v>5.1491555555555563E-3</v>
      </c>
      <c r="P14" s="18">
        <f t="shared" si="7"/>
        <v>0.20596622222222224</v>
      </c>
      <c r="Q14" s="18">
        <f t="shared" si="8"/>
        <v>0.20596622222222224</v>
      </c>
      <c r="R14" s="18">
        <f t="shared" si="9"/>
        <v>0.41708160000000005</v>
      </c>
      <c r="S14" s="18">
        <v>2.5</v>
      </c>
      <c r="T14" s="18">
        <f t="shared" si="10"/>
        <v>5.530651695250639</v>
      </c>
      <c r="U14" s="18">
        <v>9</v>
      </c>
      <c r="V14" s="18">
        <f t="shared" si="19"/>
        <v>0</v>
      </c>
      <c r="W14" s="18">
        <f t="shared" si="11"/>
        <v>1.75</v>
      </c>
      <c r="X14" s="16">
        <f t="shared" si="12"/>
        <v>4.433286745054563E-3</v>
      </c>
      <c r="Y14" s="16">
        <f t="shared" si="13"/>
        <v>1.1044687500000001</v>
      </c>
      <c r="Z14" s="16">
        <f t="shared" si="14"/>
        <v>0.37763096511331806</v>
      </c>
      <c r="AA14" s="16">
        <f>VLOOKUP(Z14,Table2[#All],2,TRUE)</f>
        <v>0.45</v>
      </c>
      <c r="AB14" s="16">
        <f t="shared" si="15"/>
        <v>0.33750000000000002</v>
      </c>
      <c r="AC14" s="16">
        <f>VLOOKUP(AA14,Table2[#All],3,TRUE)</f>
        <v>0.82499999999999996</v>
      </c>
      <c r="AD14" s="16">
        <f t="shared" si="16"/>
        <v>2.0625</v>
      </c>
      <c r="AE14" s="16">
        <f t="shared" si="17"/>
        <v>3.5067298153381592</v>
      </c>
      <c r="AF14" s="16">
        <v>100</v>
      </c>
      <c r="AG14" s="16">
        <v>100</v>
      </c>
      <c r="AH14" s="16">
        <f t="shared" si="20"/>
        <v>91.085686071264888</v>
      </c>
      <c r="AI14" s="16">
        <f t="shared" si="18"/>
        <v>87.578956255926727</v>
      </c>
      <c r="AJ14" s="16" t="s">
        <v>104</v>
      </c>
    </row>
    <row r="15" spans="1:36" s="16" customFormat="1" x14ac:dyDescent="0.35">
      <c r="A15" s="16">
        <v>7</v>
      </c>
      <c r="B15" s="17" t="s">
        <v>33</v>
      </c>
      <c r="C15" s="18">
        <v>34</v>
      </c>
      <c r="D15" s="18">
        <v>35</v>
      </c>
      <c r="E15" s="18">
        <v>487</v>
      </c>
      <c r="F15" s="18">
        <f t="shared" si="1"/>
        <v>2.4888888888888889</v>
      </c>
      <c r="G15" s="18">
        <f t="shared" si="2"/>
        <v>0.24888888888888891</v>
      </c>
      <c r="H15" s="18">
        <f t="shared" si="3"/>
        <v>20.16</v>
      </c>
      <c r="I15" s="18">
        <v>63</v>
      </c>
      <c r="J15" s="18">
        <f t="shared" si="4"/>
        <v>0.32</v>
      </c>
      <c r="K15" s="18">
        <v>7</v>
      </c>
      <c r="L15" s="18">
        <v>123</v>
      </c>
      <c r="M15" s="19">
        <f t="shared" si="0"/>
        <v>130</v>
      </c>
      <c r="N15" s="18">
        <f t="shared" si="5"/>
        <v>0.10298311111111112</v>
      </c>
      <c r="O15" s="18">
        <f t="shared" si="6"/>
        <v>1.0298311111111113E-2</v>
      </c>
      <c r="P15" s="18">
        <f t="shared" si="7"/>
        <v>0.41193244444444449</v>
      </c>
      <c r="Q15" s="18">
        <f t="shared" si="8"/>
        <v>0.41193244444444449</v>
      </c>
      <c r="R15" s="18">
        <f t="shared" si="9"/>
        <v>0.8341632000000001</v>
      </c>
      <c r="S15" s="18">
        <v>2.5</v>
      </c>
      <c r="T15" s="18">
        <f t="shared" si="10"/>
        <v>7.8215226361852039</v>
      </c>
      <c r="U15" s="18">
        <v>9</v>
      </c>
      <c r="V15" s="18">
        <v>0</v>
      </c>
      <c r="W15" s="18">
        <f t="shared" si="11"/>
        <v>1.75</v>
      </c>
      <c r="X15" s="16">
        <f t="shared" si="12"/>
        <v>4.433286745054563E-3</v>
      </c>
      <c r="Y15" s="16">
        <f t="shared" si="13"/>
        <v>1.1044687500000001</v>
      </c>
      <c r="Z15" s="16">
        <f t="shared" si="14"/>
        <v>0.75526193022663612</v>
      </c>
      <c r="AA15" s="16">
        <f>VLOOKUP(Z15,Table2[#All],2,TRUE)</f>
        <v>0.72499999999999998</v>
      </c>
      <c r="AB15" s="16">
        <f t="shared" si="15"/>
        <v>0.54374999999999996</v>
      </c>
      <c r="AC15" s="16">
        <f>VLOOKUP(AA15,Table2[#All],3,TRUE)</f>
        <v>0.95</v>
      </c>
      <c r="AD15" s="16">
        <f t="shared" si="16"/>
        <v>2.375</v>
      </c>
      <c r="AE15" s="16">
        <f t="shared" si="17"/>
        <v>2.159010644841572</v>
      </c>
      <c r="AF15" s="16">
        <v>100</v>
      </c>
      <c r="AG15" s="16">
        <v>100</v>
      </c>
      <c r="AH15" s="16">
        <f t="shared" si="20"/>
        <v>87.578956255926727</v>
      </c>
      <c r="AI15" s="16">
        <f t="shared" si="18"/>
        <v>85.419945611085154</v>
      </c>
      <c r="AJ15" s="16" t="s">
        <v>104</v>
      </c>
    </row>
    <row r="16" spans="1:36" s="16" customFormat="1" x14ac:dyDescent="0.35">
      <c r="A16" s="16">
        <v>8</v>
      </c>
      <c r="B16" s="17" t="s">
        <v>11</v>
      </c>
      <c r="C16" s="18">
        <v>35</v>
      </c>
      <c r="D16" s="18">
        <v>36</v>
      </c>
      <c r="E16" s="18">
        <v>487</v>
      </c>
      <c r="F16" s="18">
        <f t="shared" si="1"/>
        <v>5.6888888888888891</v>
      </c>
      <c r="G16" s="18">
        <f t="shared" si="2"/>
        <v>0.56888888888888889</v>
      </c>
      <c r="H16" s="18">
        <f t="shared" si="3"/>
        <v>46.08</v>
      </c>
      <c r="I16" s="18">
        <v>142</v>
      </c>
      <c r="J16" s="18">
        <f t="shared" si="4"/>
        <v>0.32450704225352112</v>
      </c>
      <c r="K16" s="18">
        <v>16</v>
      </c>
      <c r="L16" s="18">
        <v>130</v>
      </c>
      <c r="M16" s="19">
        <f t="shared" si="0"/>
        <v>146</v>
      </c>
      <c r="N16" s="18">
        <f t="shared" si="5"/>
        <v>0.11565795555555554</v>
      </c>
      <c r="O16" s="18">
        <f t="shared" si="6"/>
        <v>1.1565795555555555E-2</v>
      </c>
      <c r="P16" s="18">
        <f t="shared" si="7"/>
        <v>0.46263182222222216</v>
      </c>
      <c r="Q16" s="18">
        <f t="shared" si="8"/>
        <v>0.46263182222222216</v>
      </c>
      <c r="R16" s="18">
        <f t="shared" si="9"/>
        <v>0.9368294399999999</v>
      </c>
      <c r="S16" s="18">
        <v>2.5</v>
      </c>
      <c r="T16" s="18">
        <f t="shared" si="10"/>
        <v>8.2888839310248237</v>
      </c>
      <c r="U16" s="18">
        <v>12</v>
      </c>
      <c r="V16" s="18">
        <f t="shared" si="19"/>
        <v>3</v>
      </c>
      <c r="W16" s="18">
        <f t="shared" si="11"/>
        <v>2</v>
      </c>
      <c r="X16" s="16">
        <f t="shared" si="12"/>
        <v>3.0209312393881548E-3</v>
      </c>
      <c r="Y16" s="16">
        <f t="shared" si="13"/>
        <v>1.9635</v>
      </c>
      <c r="Z16" s="16">
        <f t="shared" si="14"/>
        <v>0.47712220015278833</v>
      </c>
      <c r="AA16" s="16">
        <f>VLOOKUP(Z16,Table2[#All],2,TRUE)</f>
        <v>0.52500000000000002</v>
      </c>
      <c r="AB16" s="16">
        <f t="shared" si="15"/>
        <v>0.52500000000000002</v>
      </c>
      <c r="AC16" s="16">
        <f>VLOOKUP(AA16,Table2[#All],3,TRUE)</f>
        <v>0.85</v>
      </c>
      <c r="AD16" s="16">
        <f t="shared" si="16"/>
        <v>2.125</v>
      </c>
      <c r="AE16" s="16">
        <f t="shared" si="17"/>
        <v>1.4711935135820313</v>
      </c>
      <c r="AF16" s="16">
        <v>100</v>
      </c>
      <c r="AG16" s="16">
        <v>100</v>
      </c>
      <c r="AH16" s="16">
        <f t="shared" si="20"/>
        <v>85.169945611085154</v>
      </c>
      <c r="AI16" s="16">
        <f t="shared" si="18"/>
        <v>83.698752097503117</v>
      </c>
      <c r="AJ16" s="16" t="s">
        <v>104</v>
      </c>
    </row>
    <row r="17" spans="1:36" s="16" customFormat="1" x14ac:dyDescent="0.35">
      <c r="A17" s="16">
        <v>9</v>
      </c>
      <c r="B17" s="17" t="s">
        <v>34</v>
      </c>
      <c r="C17" s="18">
        <v>36</v>
      </c>
      <c r="D17" s="18">
        <v>38</v>
      </c>
      <c r="E17" s="18">
        <v>305</v>
      </c>
      <c r="F17" s="18">
        <f t="shared" si="1"/>
        <v>4.6222222222222227</v>
      </c>
      <c r="G17" s="18">
        <f t="shared" si="2"/>
        <v>0.46222222222222231</v>
      </c>
      <c r="H17" s="18">
        <f t="shared" si="3"/>
        <v>37.440000000000005</v>
      </c>
      <c r="I17" s="18">
        <v>114</v>
      </c>
      <c r="J17" s="18">
        <f t="shared" si="4"/>
        <v>0.328421052631579</v>
      </c>
      <c r="K17" s="18">
        <v>13</v>
      </c>
      <c r="L17" s="18">
        <v>278</v>
      </c>
      <c r="M17" s="19">
        <f t="shared" si="0"/>
        <v>291</v>
      </c>
      <c r="N17" s="18">
        <f t="shared" si="5"/>
        <v>0.23052373333333337</v>
      </c>
      <c r="O17" s="18">
        <f t="shared" si="6"/>
        <v>2.3052373333333338E-2</v>
      </c>
      <c r="P17" s="18">
        <f t="shared" si="7"/>
        <v>0.92209493333333348</v>
      </c>
      <c r="Q17" s="18">
        <f t="shared" si="8"/>
        <v>0.92209493333333348</v>
      </c>
      <c r="R17" s="18">
        <f t="shared" si="9"/>
        <v>1.8672422400000004</v>
      </c>
      <c r="S17" s="18">
        <v>2.5</v>
      </c>
      <c r="T17" s="18">
        <f t="shared" si="10"/>
        <v>11.702162508032451</v>
      </c>
      <c r="U17" s="18">
        <v>15</v>
      </c>
      <c r="V17" s="18">
        <f t="shared" si="19"/>
        <v>3</v>
      </c>
      <c r="W17" s="18">
        <f t="shared" si="11"/>
        <v>2.25</v>
      </c>
      <c r="X17" s="16">
        <f t="shared" si="12"/>
        <v>2.2435073132569712E-3</v>
      </c>
      <c r="Y17" s="16">
        <f t="shared" si="13"/>
        <v>3.0679687499999995</v>
      </c>
      <c r="Z17" s="16">
        <f t="shared" si="14"/>
        <v>0.60862492161955717</v>
      </c>
      <c r="AA17" s="16">
        <f>VLOOKUP(Z17,Table2[#All],2,TRUE)</f>
        <v>0.625</v>
      </c>
      <c r="AB17" s="16">
        <f t="shared" si="15"/>
        <v>0.78125</v>
      </c>
      <c r="AC17" s="16">
        <f>VLOOKUP(AA17,Table2[#All],3,TRUE)</f>
        <v>0.9</v>
      </c>
      <c r="AD17" s="16">
        <f t="shared" si="16"/>
        <v>2.25</v>
      </c>
      <c r="AE17" s="16">
        <f t="shared" si="17"/>
        <v>0.68426973054337625</v>
      </c>
      <c r="AF17" s="16">
        <v>100</v>
      </c>
      <c r="AG17" s="16">
        <v>100</v>
      </c>
      <c r="AH17" s="16">
        <f t="shared" si="20"/>
        <v>83.448752097503117</v>
      </c>
      <c r="AI17" s="16">
        <f t="shared" si="18"/>
        <v>82.76448236695974</v>
      </c>
      <c r="AJ17" s="16" t="s">
        <v>104</v>
      </c>
    </row>
    <row r="18" spans="1:36" s="16" customFormat="1" x14ac:dyDescent="0.35">
      <c r="A18" s="16">
        <v>10</v>
      </c>
      <c r="B18" s="17" t="s">
        <v>35</v>
      </c>
      <c r="C18" s="18">
        <v>38</v>
      </c>
      <c r="D18" s="18">
        <v>50</v>
      </c>
      <c r="E18" s="18">
        <v>207</v>
      </c>
      <c r="F18" s="18">
        <f t="shared" si="1"/>
        <v>2.8444444444444446</v>
      </c>
      <c r="G18" s="18">
        <f t="shared" si="2"/>
        <v>0.28444444444444444</v>
      </c>
      <c r="H18" s="18">
        <f t="shared" si="3"/>
        <v>23.04</v>
      </c>
      <c r="I18" s="18">
        <v>70</v>
      </c>
      <c r="J18" s="18">
        <f t="shared" si="4"/>
        <v>0.32914285714285713</v>
      </c>
      <c r="K18" s="18">
        <v>8</v>
      </c>
      <c r="L18" s="18">
        <v>300</v>
      </c>
      <c r="M18" s="19">
        <f t="shared" si="0"/>
        <v>308</v>
      </c>
      <c r="N18" s="18">
        <f t="shared" si="5"/>
        <v>0.24399075555555555</v>
      </c>
      <c r="O18" s="18">
        <f t="shared" si="6"/>
        <v>2.4399075555555556E-2</v>
      </c>
      <c r="P18" s="18">
        <f t="shared" si="7"/>
        <v>0.9759630222222222</v>
      </c>
      <c r="Q18" s="18">
        <f t="shared" si="8"/>
        <v>0.9759630222222222</v>
      </c>
      <c r="R18" s="18">
        <f t="shared" si="9"/>
        <v>1.97632512</v>
      </c>
      <c r="S18" s="18">
        <v>2.5</v>
      </c>
      <c r="T18" s="18">
        <f t="shared" si="10"/>
        <v>12.039126800463857</v>
      </c>
      <c r="U18" s="18">
        <v>15</v>
      </c>
      <c r="V18" s="18">
        <f t="shared" si="19"/>
        <v>0</v>
      </c>
      <c r="W18" s="18">
        <f t="shared" si="11"/>
        <v>2.25</v>
      </c>
      <c r="X18" s="16">
        <f t="shared" si="12"/>
        <v>2.2435073132569712E-3</v>
      </c>
      <c r="Y18" s="16">
        <f t="shared" si="13"/>
        <v>3.0679687499999995</v>
      </c>
      <c r="Z18" s="16">
        <f t="shared" si="14"/>
        <v>0.64418032941176484</v>
      </c>
      <c r="AA18" s="16">
        <f>VLOOKUP(Z18,Table2[#All],2,TRUE)</f>
        <v>0.625</v>
      </c>
      <c r="AB18" s="16">
        <f t="shared" si="15"/>
        <v>0.78125</v>
      </c>
      <c r="AC18" s="16">
        <f>VLOOKUP(AA18,Table2[#All],3,TRUE)</f>
        <v>0.9</v>
      </c>
      <c r="AD18" s="16">
        <f t="shared" si="16"/>
        <v>2.25</v>
      </c>
      <c r="AE18" s="16">
        <f t="shared" si="17"/>
        <v>0.46440601384419306</v>
      </c>
      <c r="AF18" s="16">
        <v>100</v>
      </c>
      <c r="AG18" s="16">
        <v>100</v>
      </c>
      <c r="AH18" s="16">
        <f t="shared" si="20"/>
        <v>82.76448236695974</v>
      </c>
      <c r="AI18" s="16">
        <f t="shared" si="18"/>
        <v>82.300076353115543</v>
      </c>
      <c r="AJ18" s="16" t="s">
        <v>104</v>
      </c>
    </row>
    <row r="19" spans="1:36" s="16" customFormat="1" x14ac:dyDescent="0.35">
      <c r="A19" s="16">
        <v>11</v>
      </c>
      <c r="B19" s="17" t="s">
        <v>36</v>
      </c>
      <c r="C19" s="18">
        <v>50</v>
      </c>
      <c r="D19" s="18">
        <v>51</v>
      </c>
      <c r="E19" s="18">
        <v>562</v>
      </c>
      <c r="F19" s="18">
        <f t="shared" si="1"/>
        <v>5.3333333333333339</v>
      </c>
      <c r="G19" s="18">
        <f t="shared" si="2"/>
        <v>0.53333333333333344</v>
      </c>
      <c r="H19" s="18">
        <f t="shared" si="3"/>
        <v>43.2</v>
      </c>
      <c r="I19" s="18">
        <v>591</v>
      </c>
      <c r="J19" s="18">
        <f t="shared" si="4"/>
        <v>7.309644670050762E-2</v>
      </c>
      <c r="K19" s="18">
        <v>15</v>
      </c>
      <c r="L19" s="18">
        <v>407</v>
      </c>
      <c r="M19" s="19">
        <f t="shared" si="0"/>
        <v>422</v>
      </c>
      <c r="N19" s="18">
        <f t="shared" si="5"/>
        <v>0.33429902222222219</v>
      </c>
      <c r="O19" s="18">
        <f t="shared" si="6"/>
        <v>3.3429902222222217E-2</v>
      </c>
      <c r="P19" s="18">
        <f t="shared" si="7"/>
        <v>1.3371960888888887</v>
      </c>
      <c r="Q19" s="18">
        <f t="shared" si="8"/>
        <v>1.3371960888888887</v>
      </c>
      <c r="R19" s="18">
        <f t="shared" si="9"/>
        <v>2.7078220799999997</v>
      </c>
      <c r="S19" s="18">
        <v>2.5</v>
      </c>
      <c r="T19" s="18">
        <f t="shared" si="10"/>
        <v>14.092104526732712</v>
      </c>
      <c r="U19" s="18">
        <v>18</v>
      </c>
      <c r="V19" s="18">
        <f t="shared" si="19"/>
        <v>3</v>
      </c>
      <c r="W19" s="18">
        <f t="shared" si="11"/>
        <v>2.5</v>
      </c>
      <c r="X19" s="16">
        <f t="shared" si="12"/>
        <v>1.7593510106940723E-3</v>
      </c>
      <c r="Y19" s="16">
        <f t="shared" si="13"/>
        <v>4.4178750000000004</v>
      </c>
      <c r="Z19" s="16">
        <f t="shared" si="14"/>
        <v>0.61292410491469307</v>
      </c>
      <c r="AA19" s="16">
        <f>VLOOKUP(Z19,Table2[#All],2,TRUE)</f>
        <v>0.625</v>
      </c>
      <c r="AB19" s="16">
        <f t="shared" si="15"/>
        <v>0.9375</v>
      </c>
      <c r="AC19" s="16">
        <f>VLOOKUP(AA19,Table2[#All],3,TRUE)</f>
        <v>0.9</v>
      </c>
      <c r="AD19" s="16">
        <f t="shared" si="16"/>
        <v>2.25</v>
      </c>
      <c r="AE19" s="16">
        <f t="shared" si="17"/>
        <v>0.98875526801006863</v>
      </c>
      <c r="AF19" s="16">
        <v>100</v>
      </c>
      <c r="AG19" s="16">
        <v>100</v>
      </c>
      <c r="AH19" s="16">
        <f t="shared" si="20"/>
        <v>82.050076353115543</v>
      </c>
      <c r="AI19" s="16">
        <f t="shared" si="18"/>
        <v>81.061321085105476</v>
      </c>
      <c r="AJ19" s="16" t="s">
        <v>104</v>
      </c>
    </row>
    <row r="20" spans="1:36" s="16" customFormat="1" x14ac:dyDescent="0.35">
      <c r="A20" s="16">
        <v>12</v>
      </c>
      <c r="B20" s="17" t="s">
        <v>37</v>
      </c>
      <c r="C20" s="18">
        <v>51</v>
      </c>
      <c r="D20" s="18">
        <v>52</v>
      </c>
      <c r="E20" s="18">
        <v>145</v>
      </c>
      <c r="F20" s="18">
        <f t="shared" si="1"/>
        <v>2.4888888888888889</v>
      </c>
      <c r="G20" s="18">
        <f t="shared" si="2"/>
        <v>0.24888888888888891</v>
      </c>
      <c r="H20" s="18">
        <f t="shared" si="3"/>
        <v>20.16</v>
      </c>
      <c r="I20" s="18">
        <v>63</v>
      </c>
      <c r="J20" s="18">
        <f t="shared" si="4"/>
        <v>0.32</v>
      </c>
      <c r="K20" s="18">
        <v>7</v>
      </c>
      <c r="L20" s="18">
        <v>422</v>
      </c>
      <c r="M20" s="19">
        <f t="shared" si="0"/>
        <v>429</v>
      </c>
      <c r="N20" s="18">
        <f t="shared" si="5"/>
        <v>0.33984426666666667</v>
      </c>
      <c r="O20" s="18">
        <f t="shared" si="6"/>
        <v>3.3984426666666671E-2</v>
      </c>
      <c r="P20" s="18">
        <f t="shared" si="7"/>
        <v>1.3593770666666667</v>
      </c>
      <c r="Q20" s="18">
        <f t="shared" si="8"/>
        <v>1.3593770666666667</v>
      </c>
      <c r="R20" s="18">
        <f t="shared" si="9"/>
        <v>2.7527385600000001</v>
      </c>
      <c r="S20" s="18">
        <v>2.5</v>
      </c>
      <c r="T20" s="18">
        <f t="shared" si="10"/>
        <v>14.208501467416607</v>
      </c>
      <c r="U20" s="18">
        <v>18</v>
      </c>
      <c r="V20" s="18">
        <f t="shared" si="19"/>
        <v>0</v>
      </c>
      <c r="W20" s="18">
        <f t="shared" si="11"/>
        <v>2.5</v>
      </c>
      <c r="X20" s="16">
        <f t="shared" si="12"/>
        <v>1.7593510106940723E-3</v>
      </c>
      <c r="Y20" s="16">
        <f t="shared" si="13"/>
        <v>4.4178750000000004</v>
      </c>
      <c r="Z20" s="16">
        <f t="shared" si="14"/>
        <v>0.62309109243697469</v>
      </c>
      <c r="AA20" s="16">
        <f>VLOOKUP(Z20,Table2[#All],2,TRUE)</f>
        <v>0.625</v>
      </c>
      <c r="AB20" s="16">
        <f t="shared" si="15"/>
        <v>0.9375</v>
      </c>
      <c r="AC20" s="16">
        <f>VLOOKUP(AA20,Table2[#All],3,TRUE)</f>
        <v>0.9</v>
      </c>
      <c r="AD20" s="16">
        <f t="shared" si="16"/>
        <v>2.25</v>
      </c>
      <c r="AE20" s="16">
        <f t="shared" si="17"/>
        <v>0.25510589655064048</v>
      </c>
      <c r="AF20" s="16">
        <v>100</v>
      </c>
      <c r="AG20" s="16">
        <v>100</v>
      </c>
      <c r="AH20" s="16">
        <f t="shared" si="20"/>
        <v>81.061321085105476</v>
      </c>
      <c r="AI20" s="16">
        <f t="shared" si="18"/>
        <v>80.80621518855483</v>
      </c>
      <c r="AJ20" s="16" t="s">
        <v>104</v>
      </c>
    </row>
    <row r="21" spans="1:36" s="11" customFormat="1" x14ac:dyDescent="0.35">
      <c r="A21" s="11">
        <v>13</v>
      </c>
      <c r="B21" s="9" t="s">
        <v>15</v>
      </c>
      <c r="C21" s="10">
        <v>43</v>
      </c>
      <c r="D21" s="10">
        <v>44</v>
      </c>
      <c r="E21" s="10">
        <v>150</v>
      </c>
      <c r="F21" s="31">
        <f t="shared" si="1"/>
        <v>3.9111111111111114</v>
      </c>
      <c r="G21" s="31">
        <f t="shared" si="2"/>
        <v>0.39111111111111119</v>
      </c>
      <c r="H21" s="31">
        <f t="shared" si="3"/>
        <v>31.680000000000003</v>
      </c>
      <c r="I21" s="31">
        <v>98</v>
      </c>
      <c r="J21" s="31">
        <f t="shared" si="4"/>
        <v>0.32326530612244903</v>
      </c>
      <c r="K21" s="12">
        <v>11</v>
      </c>
      <c r="L21" s="12">
        <v>0</v>
      </c>
      <c r="M21" s="32">
        <f t="shared" si="0"/>
        <v>11</v>
      </c>
      <c r="N21" s="12">
        <f t="shared" si="5"/>
        <v>8.7139555555555553E-3</v>
      </c>
      <c r="O21" s="12">
        <f t="shared" si="6"/>
        <v>8.7139555555555562E-4</v>
      </c>
      <c r="P21" s="12">
        <f t="shared" si="7"/>
        <v>3.4855822222222221E-2</v>
      </c>
      <c r="Q21" s="12">
        <f t="shared" si="8"/>
        <v>3.4855822222222221E-2</v>
      </c>
      <c r="R21" s="12">
        <f t="shared" si="9"/>
        <v>7.058304E-2</v>
      </c>
      <c r="S21" s="12">
        <v>2.5</v>
      </c>
      <c r="T21" s="12">
        <f t="shared" si="10"/>
        <v>2.2751811083142925</v>
      </c>
      <c r="U21" s="12">
        <v>9</v>
      </c>
      <c r="V21" s="12">
        <v>0</v>
      </c>
      <c r="W21" s="12">
        <f t="shared" si="11"/>
        <v>1.75</v>
      </c>
      <c r="X21" s="11">
        <f t="shared" si="12"/>
        <v>4.433286745054563E-3</v>
      </c>
      <c r="Y21" s="11">
        <f t="shared" si="13"/>
        <v>1.1044687500000001</v>
      </c>
      <c r="Z21" s="11">
        <f t="shared" si="14"/>
        <v>6.3906778711484591E-2</v>
      </c>
      <c r="AA21" s="33">
        <f>VLOOKUP(Z21,Table2[#All],2,TRUE)</f>
        <v>7.4999999999999997E-2</v>
      </c>
      <c r="AB21" s="33">
        <f t="shared" si="15"/>
        <v>5.6249999999999994E-2</v>
      </c>
      <c r="AC21" s="33">
        <f>VLOOKUP(AA21,Table2[#All],3,TRUE)</f>
        <v>0.25</v>
      </c>
      <c r="AD21" s="33">
        <f t="shared" si="16"/>
        <v>0.625</v>
      </c>
      <c r="AE21" s="11">
        <f t="shared" si="17"/>
        <v>0.66499301175818448</v>
      </c>
      <c r="AF21" s="11">
        <v>100</v>
      </c>
      <c r="AG21" s="11">
        <v>100</v>
      </c>
      <c r="AH21" s="11">
        <f>AF21-3-(U21/12)-(W21/12)</f>
        <v>96.104166666666671</v>
      </c>
      <c r="AI21" s="33">
        <f t="shared" si="18"/>
        <v>95.439173654908487</v>
      </c>
      <c r="AJ21" s="16" t="s">
        <v>98</v>
      </c>
    </row>
    <row r="22" spans="1:36" s="11" customFormat="1" x14ac:dyDescent="0.35">
      <c r="A22" s="11">
        <v>14</v>
      </c>
      <c r="B22" s="10" t="s">
        <v>16</v>
      </c>
      <c r="C22" s="10">
        <v>44</v>
      </c>
      <c r="D22" s="10">
        <v>45</v>
      </c>
      <c r="E22" s="10">
        <v>168</v>
      </c>
      <c r="F22" s="31">
        <f t="shared" si="1"/>
        <v>3.2</v>
      </c>
      <c r="G22" s="31">
        <f t="shared" si="2"/>
        <v>0.32000000000000006</v>
      </c>
      <c r="H22" s="31">
        <f t="shared" si="3"/>
        <v>25.92</v>
      </c>
      <c r="I22" s="31">
        <v>84</v>
      </c>
      <c r="J22" s="31">
        <f t="shared" si="4"/>
        <v>0.30857142857142861</v>
      </c>
      <c r="K22" s="12">
        <v>9</v>
      </c>
      <c r="L22" s="12">
        <v>11</v>
      </c>
      <c r="M22" s="32">
        <f t="shared" si="0"/>
        <v>20</v>
      </c>
      <c r="N22" s="12">
        <f t="shared" si="5"/>
        <v>1.5843555555555559E-2</v>
      </c>
      <c r="O22" s="12">
        <f t="shared" si="6"/>
        <v>1.584355555555556E-3</v>
      </c>
      <c r="P22" s="12">
        <f t="shared" si="7"/>
        <v>6.3374222222222235E-2</v>
      </c>
      <c r="Q22" s="12">
        <f t="shared" si="8"/>
        <v>6.3374222222222235E-2</v>
      </c>
      <c r="R22" s="12">
        <f t="shared" si="9"/>
        <v>0.12833280000000002</v>
      </c>
      <c r="S22" s="12">
        <v>2.5</v>
      </c>
      <c r="T22" s="12">
        <f t="shared" si="10"/>
        <v>3.0678535806089258</v>
      </c>
      <c r="U22" s="12">
        <v>9</v>
      </c>
      <c r="V22" s="12">
        <f t="shared" si="19"/>
        <v>0</v>
      </c>
      <c r="W22" s="12">
        <f t="shared" si="11"/>
        <v>1.75</v>
      </c>
      <c r="X22" s="11">
        <f t="shared" si="12"/>
        <v>4.433286745054563E-3</v>
      </c>
      <c r="Y22" s="11">
        <f t="shared" si="13"/>
        <v>1.1044687500000001</v>
      </c>
      <c r="Z22" s="11">
        <f t="shared" si="14"/>
        <v>0.11619414311179019</v>
      </c>
      <c r="AA22" s="33">
        <f>VLOOKUP(Z22,Table2[#All],2,TRUE)</f>
        <v>0.25</v>
      </c>
      <c r="AB22" s="33">
        <f t="shared" si="15"/>
        <v>0.1875</v>
      </c>
      <c r="AC22" s="33">
        <f>VLOOKUP(AA22,Table2[#All],3,TRUE)</f>
        <v>0.7</v>
      </c>
      <c r="AD22" s="33">
        <f t="shared" si="16"/>
        <v>1.75</v>
      </c>
      <c r="AE22" s="11">
        <f t="shared" si="17"/>
        <v>0.74479217316916657</v>
      </c>
      <c r="AF22" s="11">
        <v>100</v>
      </c>
      <c r="AG22" s="11">
        <v>100</v>
      </c>
      <c r="AH22" s="11">
        <f>AI21-V22</f>
        <v>95.439173654908487</v>
      </c>
      <c r="AI22" s="33">
        <f t="shared" si="18"/>
        <v>94.694381481739313</v>
      </c>
      <c r="AJ22" s="16" t="s">
        <v>103</v>
      </c>
    </row>
    <row r="23" spans="1:36" s="11" customFormat="1" x14ac:dyDescent="0.35">
      <c r="A23" s="11">
        <v>15</v>
      </c>
      <c r="B23" s="10" t="s">
        <v>17</v>
      </c>
      <c r="C23" s="10">
        <v>45</v>
      </c>
      <c r="D23" s="10">
        <v>48</v>
      </c>
      <c r="E23" s="10">
        <v>453</v>
      </c>
      <c r="F23" s="31">
        <f t="shared" si="1"/>
        <v>2.1333333333333333</v>
      </c>
      <c r="G23" s="31">
        <f t="shared" si="2"/>
        <v>0.21333333333333335</v>
      </c>
      <c r="H23" s="31">
        <f t="shared" si="3"/>
        <v>17.28</v>
      </c>
      <c r="I23" s="31">
        <v>56</v>
      </c>
      <c r="J23" s="31">
        <f t="shared" si="4"/>
        <v>0.30857142857142861</v>
      </c>
      <c r="K23" s="12">
        <v>6</v>
      </c>
      <c r="L23" s="12">
        <v>20</v>
      </c>
      <c r="M23" s="32">
        <f t="shared" si="0"/>
        <v>26</v>
      </c>
      <c r="N23" s="12">
        <f t="shared" si="5"/>
        <v>2.0596622222222225E-2</v>
      </c>
      <c r="O23" s="12">
        <f t="shared" si="6"/>
        <v>2.0596622222222227E-3</v>
      </c>
      <c r="P23" s="12">
        <f t="shared" si="7"/>
        <v>8.2386488888888901E-2</v>
      </c>
      <c r="Q23" s="12">
        <f t="shared" si="8"/>
        <v>8.2386488888888901E-2</v>
      </c>
      <c r="R23" s="12">
        <f t="shared" si="9"/>
        <v>0.16683264000000003</v>
      </c>
      <c r="S23" s="12">
        <v>2.5</v>
      </c>
      <c r="T23" s="12">
        <f t="shared" si="10"/>
        <v>3.4978912604126946</v>
      </c>
      <c r="U23" s="12">
        <v>9</v>
      </c>
      <c r="V23" s="12">
        <f t="shared" si="19"/>
        <v>0</v>
      </c>
      <c r="W23" s="12">
        <f t="shared" si="11"/>
        <v>1.75</v>
      </c>
      <c r="X23" s="11">
        <f t="shared" si="12"/>
        <v>4.433286745054563E-3</v>
      </c>
      <c r="Y23" s="11">
        <f t="shared" si="13"/>
        <v>1.1044687500000001</v>
      </c>
      <c r="Z23" s="11">
        <f t="shared" si="14"/>
        <v>0.15105238604532722</v>
      </c>
      <c r="AA23" s="33">
        <f>VLOOKUP(Z23,Table2[#All],2,TRUE)</f>
        <v>0.3</v>
      </c>
      <c r="AB23" s="33">
        <f t="shared" si="15"/>
        <v>0.22499999999999998</v>
      </c>
      <c r="AC23" s="33">
        <f>VLOOKUP(AA23,Table2[#All],3,TRUE)</f>
        <v>0.72499999999999998</v>
      </c>
      <c r="AD23" s="33">
        <f t="shared" si="16"/>
        <v>1.8125</v>
      </c>
      <c r="AE23" s="11">
        <f t="shared" si="17"/>
        <v>2.0082788955097168</v>
      </c>
      <c r="AF23" s="11">
        <v>100</v>
      </c>
      <c r="AG23" s="11">
        <v>100</v>
      </c>
      <c r="AH23" s="11">
        <f t="shared" ref="AH23:AH25" si="21">AI22-V23</f>
        <v>94.694381481739313</v>
      </c>
      <c r="AI23" s="33">
        <f t="shared" si="18"/>
        <v>92.686102586229595</v>
      </c>
      <c r="AJ23" s="16" t="s">
        <v>103</v>
      </c>
    </row>
    <row r="24" spans="1:36" s="11" customFormat="1" x14ac:dyDescent="0.35">
      <c r="A24" s="11">
        <v>16</v>
      </c>
      <c r="B24" s="9" t="s">
        <v>42</v>
      </c>
      <c r="C24" s="10">
        <v>48</v>
      </c>
      <c r="D24" s="10">
        <v>49</v>
      </c>
      <c r="E24" s="10">
        <v>220</v>
      </c>
      <c r="F24" s="31">
        <f t="shared" si="1"/>
        <v>4.6222222222222227</v>
      </c>
      <c r="G24" s="31">
        <f t="shared" si="2"/>
        <v>0.46222222222222231</v>
      </c>
      <c r="H24" s="31">
        <f t="shared" si="3"/>
        <v>37.440000000000005</v>
      </c>
      <c r="I24" s="31">
        <v>348</v>
      </c>
      <c r="J24" s="31">
        <f t="shared" si="4"/>
        <v>0.10758620689655174</v>
      </c>
      <c r="K24" s="12">
        <v>13</v>
      </c>
      <c r="L24" s="12">
        <v>48</v>
      </c>
      <c r="M24" s="32">
        <f t="shared" si="0"/>
        <v>61</v>
      </c>
      <c r="N24" s="12">
        <f t="shared" si="5"/>
        <v>4.8322844444444443E-2</v>
      </c>
      <c r="O24" s="12">
        <f t="shared" si="6"/>
        <v>4.8322844444444448E-3</v>
      </c>
      <c r="P24" s="12">
        <f t="shared" si="7"/>
        <v>0.19329137777777777</v>
      </c>
      <c r="Q24" s="12">
        <f t="shared" si="8"/>
        <v>0.19329137777777777</v>
      </c>
      <c r="R24" s="12">
        <f t="shared" si="9"/>
        <v>0.39141503999999999</v>
      </c>
      <c r="S24" s="12">
        <v>2.5</v>
      </c>
      <c r="T24" s="12">
        <f t="shared" si="10"/>
        <v>5.3577759430352963</v>
      </c>
      <c r="U24" s="12">
        <v>9</v>
      </c>
      <c r="V24" s="12">
        <f t="shared" si="19"/>
        <v>0</v>
      </c>
      <c r="W24" s="12">
        <f t="shared" si="11"/>
        <v>1.75</v>
      </c>
      <c r="X24" s="11">
        <f t="shared" si="12"/>
        <v>4.433286745054563E-3</v>
      </c>
      <c r="Y24" s="11">
        <f t="shared" si="13"/>
        <v>1.1044687500000001</v>
      </c>
      <c r="Z24" s="11">
        <f t="shared" si="14"/>
        <v>0.35439213649095996</v>
      </c>
      <c r="AA24" s="33">
        <f>VLOOKUP(Z24,Table2[#All],2,TRUE)</f>
        <v>0.45</v>
      </c>
      <c r="AB24" s="33">
        <f t="shared" si="15"/>
        <v>0.33750000000000002</v>
      </c>
      <c r="AC24" s="33">
        <f>VLOOKUP(AA24,Table2[#All],3,TRUE)</f>
        <v>0.82499999999999996</v>
      </c>
      <c r="AD24" s="33">
        <f t="shared" si="16"/>
        <v>2.0625</v>
      </c>
      <c r="AE24" s="11">
        <f t="shared" si="17"/>
        <v>0.97532308391200384</v>
      </c>
      <c r="AF24" s="11">
        <v>100</v>
      </c>
      <c r="AG24" s="11">
        <v>100</v>
      </c>
      <c r="AH24" s="11">
        <f t="shared" si="21"/>
        <v>92.686102586229595</v>
      </c>
      <c r="AI24" s="33">
        <f t="shared" si="18"/>
        <v>91.710779502317592</v>
      </c>
      <c r="AJ24" s="16" t="s">
        <v>104</v>
      </c>
    </row>
    <row r="25" spans="1:36" s="11" customFormat="1" x14ac:dyDescent="0.35">
      <c r="A25" s="11">
        <v>17</v>
      </c>
      <c r="B25" s="9" t="s">
        <v>43</v>
      </c>
      <c r="C25" s="10">
        <v>49</v>
      </c>
      <c r="D25" s="10">
        <v>50</v>
      </c>
      <c r="E25" s="10">
        <v>371</v>
      </c>
      <c r="F25" s="31">
        <f t="shared" si="1"/>
        <v>3.9111111111111114</v>
      </c>
      <c r="G25" s="31">
        <f t="shared" si="2"/>
        <v>0.39111111111111119</v>
      </c>
      <c r="H25" s="31">
        <f t="shared" si="3"/>
        <v>31.680000000000003</v>
      </c>
      <c r="I25" s="31">
        <v>97</v>
      </c>
      <c r="J25" s="31">
        <f t="shared" si="4"/>
        <v>0.32659793814432991</v>
      </c>
      <c r="K25" s="12">
        <v>11</v>
      </c>
      <c r="L25" s="12">
        <v>88</v>
      </c>
      <c r="M25" s="32">
        <f t="shared" si="0"/>
        <v>99</v>
      </c>
      <c r="N25" s="12">
        <f t="shared" si="5"/>
        <v>7.8425599999999998E-2</v>
      </c>
      <c r="O25" s="12">
        <f t="shared" si="6"/>
        <v>7.8425600000000002E-3</v>
      </c>
      <c r="P25" s="12">
        <f t="shared" si="7"/>
        <v>0.31370239999999999</v>
      </c>
      <c r="Q25" s="12">
        <f t="shared" si="8"/>
        <v>0.31370239999999999</v>
      </c>
      <c r="R25" s="12">
        <f t="shared" si="9"/>
        <v>0.63524736000000004</v>
      </c>
      <c r="S25" s="12">
        <v>2.5</v>
      </c>
      <c r="T25" s="12">
        <f t="shared" si="10"/>
        <v>6.8255433249428776</v>
      </c>
      <c r="U25" s="12">
        <v>9</v>
      </c>
      <c r="V25" s="12">
        <f t="shared" si="19"/>
        <v>0</v>
      </c>
      <c r="W25" s="12">
        <f t="shared" si="11"/>
        <v>1.75</v>
      </c>
      <c r="X25" s="11">
        <f t="shared" si="12"/>
        <v>4.433286745054563E-3</v>
      </c>
      <c r="Y25" s="11">
        <f t="shared" si="13"/>
        <v>1.1044687500000001</v>
      </c>
      <c r="Z25" s="11">
        <f t="shared" si="14"/>
        <v>0.57516100840336137</v>
      </c>
      <c r="AA25" s="33">
        <f>VLOOKUP(Z25,Table2[#All],2,TRUE)</f>
        <v>0.6</v>
      </c>
      <c r="AB25" s="33">
        <f t="shared" si="15"/>
        <v>0.44999999999999996</v>
      </c>
      <c r="AC25" s="33">
        <f>VLOOKUP(AA25,Table2[#All],3,TRUE)</f>
        <v>0.9</v>
      </c>
      <c r="AD25" s="33">
        <f t="shared" si="16"/>
        <v>2.25</v>
      </c>
      <c r="AE25" s="11">
        <f t="shared" si="17"/>
        <v>1.6447493824152428</v>
      </c>
      <c r="AF25" s="11">
        <v>100</v>
      </c>
      <c r="AG25" s="11">
        <v>100</v>
      </c>
      <c r="AH25" s="11">
        <f t="shared" si="21"/>
        <v>91.710779502317592</v>
      </c>
      <c r="AI25" s="33">
        <f t="shared" si="18"/>
        <v>90.066030119902351</v>
      </c>
      <c r="AJ25" s="16" t="s">
        <v>104</v>
      </c>
    </row>
    <row r="26" spans="1:36" s="20" customFormat="1" x14ac:dyDescent="0.35">
      <c r="A26" s="20">
        <v>18</v>
      </c>
      <c r="B26" s="21" t="s">
        <v>38</v>
      </c>
      <c r="C26" s="22">
        <v>1</v>
      </c>
      <c r="D26" s="22">
        <v>3</v>
      </c>
      <c r="E26" s="22">
        <v>293</v>
      </c>
      <c r="F26" s="22">
        <f t="shared" si="1"/>
        <v>2.8444444444444446</v>
      </c>
      <c r="G26" s="22">
        <f t="shared" si="2"/>
        <v>0.28444444444444444</v>
      </c>
      <c r="H26" s="22">
        <f t="shared" si="3"/>
        <v>23.04</v>
      </c>
      <c r="I26" s="22">
        <v>70</v>
      </c>
      <c r="J26" s="22">
        <f t="shared" si="4"/>
        <v>0.32914285714285713</v>
      </c>
      <c r="K26" s="22">
        <v>8</v>
      </c>
      <c r="L26" s="22">
        <v>0</v>
      </c>
      <c r="M26" s="34">
        <f t="shared" si="0"/>
        <v>8</v>
      </c>
      <c r="N26" s="22">
        <f t="shared" si="5"/>
        <v>6.3374222222222221E-3</v>
      </c>
      <c r="O26" s="22">
        <f t="shared" si="6"/>
        <v>6.3374222222222225E-4</v>
      </c>
      <c r="P26" s="22">
        <f t="shared" si="7"/>
        <v>2.5349688888888888E-2</v>
      </c>
      <c r="Q26" s="22">
        <f t="shared" si="8"/>
        <v>2.5349688888888888E-2</v>
      </c>
      <c r="R26" s="22">
        <f t="shared" si="9"/>
        <v>5.1333119999999996E-2</v>
      </c>
      <c r="S26" s="22">
        <v>2.5</v>
      </c>
      <c r="T26" s="22">
        <f t="shared" si="10"/>
        <v>1.9402809685254352</v>
      </c>
      <c r="U26" s="22">
        <v>9</v>
      </c>
      <c r="V26" s="22">
        <f t="shared" si="19"/>
        <v>0</v>
      </c>
      <c r="W26" s="22">
        <f t="shared" si="11"/>
        <v>1.75</v>
      </c>
      <c r="X26" s="20">
        <f t="shared" si="12"/>
        <v>4.433286745054563E-3</v>
      </c>
      <c r="Y26" s="20">
        <f t="shared" si="13"/>
        <v>1.1044687500000001</v>
      </c>
      <c r="Z26" s="20">
        <f t="shared" si="14"/>
        <v>4.6477657244716059E-2</v>
      </c>
      <c r="AA26" s="20">
        <f>VLOOKUP(Z26,Table2[#All],2,TRUE)</f>
        <v>0.05</v>
      </c>
      <c r="AB26" s="20">
        <f t="shared" si="15"/>
        <v>3.7500000000000006E-2</v>
      </c>
      <c r="AC26" s="20">
        <f>VLOOKUP(AA26,Table2[#All],3,TRUE)</f>
        <v>0.25</v>
      </c>
      <c r="AD26" s="20">
        <f t="shared" si="16"/>
        <v>0.625</v>
      </c>
      <c r="AE26" s="20">
        <f t="shared" si="17"/>
        <v>1.298953016300987</v>
      </c>
      <c r="AF26" s="20">
        <v>100</v>
      </c>
      <c r="AG26" s="20">
        <v>100</v>
      </c>
      <c r="AH26" s="20">
        <f>AF26-3-(U26/12)-(W26/12)</f>
        <v>96.104166666666671</v>
      </c>
      <c r="AI26" s="20">
        <f t="shared" si="18"/>
        <v>94.805213650365687</v>
      </c>
      <c r="AJ26" s="16" t="s">
        <v>98</v>
      </c>
    </row>
    <row r="27" spans="1:36" s="20" customFormat="1" x14ac:dyDescent="0.35">
      <c r="A27" s="20">
        <v>19</v>
      </c>
      <c r="B27" s="22" t="s">
        <v>39</v>
      </c>
      <c r="C27" s="22">
        <v>3</v>
      </c>
      <c r="D27" s="22">
        <v>5</v>
      </c>
      <c r="E27" s="22">
        <v>153</v>
      </c>
      <c r="F27" s="22">
        <f t="shared" si="1"/>
        <v>2.1333333333333333</v>
      </c>
      <c r="G27" s="22">
        <f t="shared" si="2"/>
        <v>0.21333333333333335</v>
      </c>
      <c r="H27" s="22">
        <f t="shared" si="3"/>
        <v>17.28</v>
      </c>
      <c r="I27" s="22">
        <v>49</v>
      </c>
      <c r="J27" s="22">
        <f t="shared" si="4"/>
        <v>0.35265306122448981</v>
      </c>
      <c r="K27" s="22">
        <v>6</v>
      </c>
      <c r="L27" s="22">
        <v>8</v>
      </c>
      <c r="M27" s="34">
        <f t="shared" si="0"/>
        <v>14</v>
      </c>
      <c r="N27" s="22">
        <f t="shared" si="5"/>
        <v>1.1090488888888889E-2</v>
      </c>
      <c r="O27" s="22">
        <f t="shared" si="6"/>
        <v>1.109048888888889E-3</v>
      </c>
      <c r="P27" s="22">
        <f t="shared" si="7"/>
        <v>4.4361955555555554E-2</v>
      </c>
      <c r="Q27" s="22">
        <f t="shared" si="8"/>
        <v>4.4361955555555554E-2</v>
      </c>
      <c r="R27" s="22">
        <f t="shared" si="9"/>
        <v>8.9832960000000003E-2</v>
      </c>
      <c r="S27" s="22">
        <v>2.5</v>
      </c>
      <c r="T27" s="22">
        <f t="shared" si="10"/>
        <v>2.5667504581549219</v>
      </c>
      <c r="U27" s="22">
        <v>9</v>
      </c>
      <c r="V27" s="22">
        <f t="shared" si="19"/>
        <v>0</v>
      </c>
      <c r="W27" s="22">
        <f t="shared" si="11"/>
        <v>1.75</v>
      </c>
      <c r="X27" s="20">
        <f t="shared" si="12"/>
        <v>4.433286745054563E-3</v>
      </c>
      <c r="Y27" s="20">
        <f t="shared" si="13"/>
        <v>1.1044687500000001</v>
      </c>
      <c r="Z27" s="20">
        <f t="shared" si="14"/>
        <v>8.1335900178253109E-2</v>
      </c>
      <c r="AA27" s="20">
        <f>VLOOKUP(Z27,Table2[#All],2,TRUE)</f>
        <v>7.4999999999999997E-2</v>
      </c>
      <c r="AB27" s="20">
        <f t="shared" si="15"/>
        <v>5.6249999999999994E-2</v>
      </c>
      <c r="AC27" s="20">
        <f>VLOOKUP(AA27,Table2[#All],3,TRUE)</f>
        <v>0.25</v>
      </c>
      <c r="AD27" s="20">
        <f t="shared" si="16"/>
        <v>0.625</v>
      </c>
      <c r="AE27" s="20">
        <f t="shared" si="17"/>
        <v>0.67829287199334809</v>
      </c>
      <c r="AF27" s="20">
        <v>100</v>
      </c>
      <c r="AG27" s="20">
        <v>100</v>
      </c>
      <c r="AH27" s="20">
        <f>AI26-(V27/12)</f>
        <v>94.805213650365687</v>
      </c>
      <c r="AI27" s="20">
        <f t="shared" si="18"/>
        <v>94.126920778372337</v>
      </c>
      <c r="AJ27" s="16" t="s">
        <v>98</v>
      </c>
    </row>
    <row r="28" spans="1:36" s="20" customFormat="1" x14ac:dyDescent="0.35">
      <c r="A28" s="20">
        <v>20</v>
      </c>
      <c r="B28" s="23" t="s">
        <v>40</v>
      </c>
      <c r="C28" s="22">
        <v>5</v>
      </c>
      <c r="D28" s="22">
        <v>8</v>
      </c>
      <c r="E28" s="22">
        <v>373</v>
      </c>
      <c r="F28" s="22">
        <f t="shared" si="1"/>
        <v>0.71111111111111114</v>
      </c>
      <c r="G28" s="22">
        <f t="shared" si="2"/>
        <v>7.1111111111111111E-2</v>
      </c>
      <c r="H28" s="22">
        <f t="shared" si="3"/>
        <v>5.76</v>
      </c>
      <c r="I28" s="22">
        <v>21</v>
      </c>
      <c r="J28" s="22">
        <f t="shared" si="4"/>
        <v>0.2742857142857143</v>
      </c>
      <c r="K28" s="22">
        <v>2</v>
      </c>
      <c r="L28" s="22">
        <v>22</v>
      </c>
      <c r="M28" s="34">
        <f t="shared" si="0"/>
        <v>24</v>
      </c>
      <c r="N28" s="22">
        <f t="shared" si="5"/>
        <v>1.9012266666666666E-2</v>
      </c>
      <c r="O28" s="22">
        <f t="shared" si="6"/>
        <v>1.9012266666666668E-3</v>
      </c>
      <c r="P28" s="22">
        <f t="shared" si="7"/>
        <v>7.6049066666666665E-2</v>
      </c>
      <c r="Q28" s="22">
        <f t="shared" si="8"/>
        <v>7.6049066666666665E-2</v>
      </c>
      <c r="R28" s="22">
        <f t="shared" si="9"/>
        <v>0.15399936</v>
      </c>
      <c r="S28" s="22">
        <v>2.5</v>
      </c>
      <c r="T28" s="22">
        <f t="shared" si="10"/>
        <v>3.3606652184450043</v>
      </c>
      <c r="U28" s="22">
        <v>9</v>
      </c>
      <c r="V28" s="22">
        <f t="shared" si="19"/>
        <v>0</v>
      </c>
      <c r="W28" s="22">
        <f t="shared" si="11"/>
        <v>1.75</v>
      </c>
      <c r="X28" s="20">
        <f t="shared" si="12"/>
        <v>4.433286745054563E-3</v>
      </c>
      <c r="Y28" s="20">
        <f t="shared" si="13"/>
        <v>1.1044687500000001</v>
      </c>
      <c r="Z28" s="20">
        <f t="shared" si="14"/>
        <v>0.1394329717341482</v>
      </c>
      <c r="AA28" s="20">
        <f>VLOOKUP(Z28,Table2[#All],2,TRUE)</f>
        <v>0.25</v>
      </c>
      <c r="AB28" s="20">
        <f t="shared" si="15"/>
        <v>0.1875</v>
      </c>
      <c r="AC28" s="20">
        <f>VLOOKUP(AA28,Table2[#All],3,TRUE)</f>
        <v>0.7</v>
      </c>
      <c r="AD28" s="20">
        <f t="shared" si="16"/>
        <v>1.75</v>
      </c>
      <c r="AE28" s="20">
        <f t="shared" si="17"/>
        <v>1.653615955905352</v>
      </c>
      <c r="AF28" s="20">
        <v>100</v>
      </c>
      <c r="AG28" s="20">
        <v>100</v>
      </c>
      <c r="AH28" s="20">
        <f t="shared" ref="AH28:AH29" si="22">AI27-(V28/12)</f>
        <v>94.126920778372337</v>
      </c>
      <c r="AI28" s="20">
        <f t="shared" si="18"/>
        <v>92.473304822466986</v>
      </c>
      <c r="AJ28" s="16" t="s">
        <v>103</v>
      </c>
    </row>
    <row r="29" spans="1:36" s="20" customFormat="1" x14ac:dyDescent="0.35">
      <c r="A29" s="20">
        <v>21</v>
      </c>
      <c r="B29" s="22" t="s">
        <v>41</v>
      </c>
      <c r="C29" s="22">
        <v>8</v>
      </c>
      <c r="D29" s="22">
        <v>36</v>
      </c>
      <c r="E29" s="22">
        <v>553</v>
      </c>
      <c r="F29" s="22">
        <f t="shared" si="1"/>
        <v>3.2</v>
      </c>
      <c r="G29" s="22">
        <f t="shared" si="2"/>
        <v>0.32000000000000006</v>
      </c>
      <c r="H29" s="22">
        <f t="shared" si="3"/>
        <v>25.92</v>
      </c>
      <c r="I29" s="22">
        <v>77</v>
      </c>
      <c r="J29" s="22">
        <f t="shared" si="4"/>
        <v>0.33662337662337666</v>
      </c>
      <c r="K29" s="22">
        <v>9</v>
      </c>
      <c r="L29" s="22">
        <v>38</v>
      </c>
      <c r="M29" s="34">
        <f t="shared" si="0"/>
        <v>47</v>
      </c>
      <c r="N29" s="22">
        <f t="shared" si="5"/>
        <v>3.7232355555555562E-2</v>
      </c>
      <c r="O29" s="22">
        <f t="shared" si="6"/>
        <v>3.7232355555555565E-3</v>
      </c>
      <c r="P29" s="22">
        <f t="shared" si="7"/>
        <v>0.14892942222222225</v>
      </c>
      <c r="Q29" s="22">
        <f t="shared" si="8"/>
        <v>0.14892942222222225</v>
      </c>
      <c r="R29" s="22">
        <f t="shared" si="9"/>
        <v>0.30158208000000003</v>
      </c>
      <c r="S29" s="22">
        <v>2.5</v>
      </c>
      <c r="T29" s="22">
        <f t="shared" si="10"/>
        <v>4.7029304844245008</v>
      </c>
      <c r="U29" s="22">
        <v>9</v>
      </c>
      <c r="V29" s="22">
        <f t="shared" si="19"/>
        <v>0</v>
      </c>
      <c r="W29" s="22">
        <f t="shared" si="11"/>
        <v>1.75</v>
      </c>
      <c r="X29" s="20">
        <f t="shared" si="12"/>
        <v>4.433286745054563E-3</v>
      </c>
      <c r="Y29" s="20">
        <f t="shared" si="13"/>
        <v>1.1044687500000001</v>
      </c>
      <c r="Z29" s="20">
        <f t="shared" si="14"/>
        <v>0.27305623631270692</v>
      </c>
      <c r="AA29" s="20">
        <f>VLOOKUP(Z29,Table2[#All],2,TRUE)</f>
        <v>0.4</v>
      </c>
      <c r="AB29" s="20">
        <f t="shared" si="15"/>
        <v>0.30000000000000004</v>
      </c>
      <c r="AC29" s="20">
        <f>VLOOKUP(AA29,Table2[#All],3,TRUE)</f>
        <v>0.8</v>
      </c>
      <c r="AD29" s="20">
        <f t="shared" si="16"/>
        <v>2</v>
      </c>
      <c r="AE29" s="20">
        <f t="shared" si="17"/>
        <v>2.4516075700151734</v>
      </c>
      <c r="AF29" s="20">
        <v>100</v>
      </c>
      <c r="AG29" s="20">
        <v>100</v>
      </c>
      <c r="AH29" s="20">
        <f t="shared" si="22"/>
        <v>92.473304822466986</v>
      </c>
      <c r="AI29" s="20">
        <f t="shared" si="18"/>
        <v>90.021697252451816</v>
      </c>
      <c r="AJ29" s="16" t="s">
        <v>104</v>
      </c>
    </row>
    <row r="30" spans="1:36" s="35" customFormat="1" x14ac:dyDescent="0.35">
      <c r="A30" s="35">
        <v>22</v>
      </c>
      <c r="B30" s="36" t="s">
        <v>44</v>
      </c>
      <c r="C30" s="36">
        <v>9</v>
      </c>
      <c r="D30" s="36">
        <v>12</v>
      </c>
      <c r="E30" s="36">
        <v>287</v>
      </c>
      <c r="F30" s="37">
        <f t="shared" si="1"/>
        <v>1.0666666666666667</v>
      </c>
      <c r="G30" s="37">
        <f t="shared" si="2"/>
        <v>0.10666666666666667</v>
      </c>
      <c r="H30" s="37">
        <f t="shared" si="3"/>
        <v>8.64</v>
      </c>
      <c r="I30" s="37">
        <v>28</v>
      </c>
      <c r="J30" s="37">
        <f t="shared" si="4"/>
        <v>0.30857142857142861</v>
      </c>
      <c r="K30" s="38">
        <v>3</v>
      </c>
      <c r="L30" s="38">
        <v>0</v>
      </c>
      <c r="M30" s="39">
        <f t="shared" si="0"/>
        <v>3</v>
      </c>
      <c r="N30" s="38">
        <f t="shared" si="5"/>
        <v>2.3765333333333333E-3</v>
      </c>
      <c r="O30" s="38">
        <f t="shared" si="6"/>
        <v>2.3765333333333334E-4</v>
      </c>
      <c r="P30" s="38">
        <f t="shared" si="7"/>
        <v>9.5061333333333331E-3</v>
      </c>
      <c r="Q30" s="38">
        <f t="shared" si="8"/>
        <v>9.5061333333333331E-3</v>
      </c>
      <c r="R30" s="38">
        <f t="shared" si="9"/>
        <v>1.924992E-2</v>
      </c>
      <c r="S30" s="38">
        <v>2.5</v>
      </c>
      <c r="T30" s="38">
        <f t="shared" si="10"/>
        <v>1.188174582630116</v>
      </c>
      <c r="U30" s="38">
        <v>9</v>
      </c>
      <c r="V30" s="38">
        <f t="shared" si="19"/>
        <v>0</v>
      </c>
      <c r="W30" s="38">
        <f t="shared" si="11"/>
        <v>1.75</v>
      </c>
      <c r="X30" s="35">
        <f t="shared" si="12"/>
        <v>4.433286745054563E-3</v>
      </c>
      <c r="Y30" s="35">
        <f t="shared" si="13"/>
        <v>1.1044687500000001</v>
      </c>
      <c r="Z30" s="35">
        <f t="shared" si="14"/>
        <v>1.7429121466768525E-2</v>
      </c>
      <c r="AA30" s="40">
        <f>VLOOKUP(Z30,Table2[#All],2,TRUE)</f>
        <v>0.05</v>
      </c>
      <c r="AB30" s="40">
        <f t="shared" si="15"/>
        <v>3.7500000000000006E-2</v>
      </c>
      <c r="AC30" s="40">
        <f>VLOOKUP(AA30,Table2[#All],3,TRUE)</f>
        <v>0.25</v>
      </c>
      <c r="AD30" s="40">
        <f t="shared" si="16"/>
        <v>0.625</v>
      </c>
      <c r="AE30" s="35">
        <f t="shared" si="17"/>
        <v>1.2723532958306596</v>
      </c>
      <c r="AF30" s="35">
        <v>100</v>
      </c>
      <c r="AG30" s="35">
        <v>100</v>
      </c>
      <c r="AH30" s="35">
        <f>AF30-3-(U30/12)-(W30/12)</f>
        <v>96.104166666666671</v>
      </c>
      <c r="AI30" s="40">
        <f t="shared" si="18"/>
        <v>94.831813370836016</v>
      </c>
      <c r="AJ30" s="16" t="s">
        <v>98</v>
      </c>
    </row>
    <row r="31" spans="1:36" s="35" customFormat="1" x14ac:dyDescent="0.35">
      <c r="A31" s="35">
        <v>23</v>
      </c>
      <c r="B31" s="36" t="s">
        <v>45</v>
      </c>
      <c r="C31" s="36">
        <v>12</v>
      </c>
      <c r="D31" s="36">
        <v>16</v>
      </c>
      <c r="E31" s="36">
        <v>390</v>
      </c>
      <c r="F31" s="37">
        <f t="shared" si="1"/>
        <v>4.2666666666666666</v>
      </c>
      <c r="G31" s="37">
        <f t="shared" si="2"/>
        <v>0.42666666666666669</v>
      </c>
      <c r="H31" s="37">
        <f t="shared" si="3"/>
        <v>34.56</v>
      </c>
      <c r="I31" s="37">
        <v>106</v>
      </c>
      <c r="J31" s="37">
        <f t="shared" si="4"/>
        <v>0.3260377358490566</v>
      </c>
      <c r="K31" s="38">
        <v>12</v>
      </c>
      <c r="L31" s="38">
        <v>15</v>
      </c>
      <c r="M31" s="39">
        <f t="shared" si="0"/>
        <v>27</v>
      </c>
      <c r="N31" s="38">
        <f t="shared" si="5"/>
        <v>2.1388799999999999E-2</v>
      </c>
      <c r="O31" s="38">
        <f t="shared" si="6"/>
        <v>2.1388800000000001E-3</v>
      </c>
      <c r="P31" s="38">
        <f t="shared" si="7"/>
        <v>8.5555199999999998E-2</v>
      </c>
      <c r="Q31" s="38">
        <f t="shared" si="8"/>
        <v>8.5555199999999998E-2</v>
      </c>
      <c r="R31" s="38">
        <f t="shared" si="9"/>
        <v>0.17324928000000001</v>
      </c>
      <c r="S31" s="38">
        <v>2.5</v>
      </c>
      <c r="T31" s="38">
        <f t="shared" si="10"/>
        <v>3.5645237478903486</v>
      </c>
      <c r="U31" s="38">
        <v>9</v>
      </c>
      <c r="V31" s="38">
        <f t="shared" si="19"/>
        <v>0</v>
      </c>
      <c r="W31" s="38">
        <f t="shared" si="11"/>
        <v>1.75</v>
      </c>
      <c r="X31" s="35">
        <f t="shared" si="12"/>
        <v>4.433286745054563E-3</v>
      </c>
      <c r="Y31" s="35">
        <f t="shared" si="13"/>
        <v>1.1044687500000001</v>
      </c>
      <c r="Z31" s="35">
        <f t="shared" si="14"/>
        <v>0.15686209320091671</v>
      </c>
      <c r="AA31" s="40">
        <f>VLOOKUP(Z31,Table2[#All],2,TRUE)</f>
        <v>0.3</v>
      </c>
      <c r="AB31" s="40">
        <f t="shared" si="15"/>
        <v>0.22499999999999998</v>
      </c>
      <c r="AC31" s="40">
        <f>VLOOKUP(AA31,Table2[#All],3,TRUE)</f>
        <v>0.72499999999999998</v>
      </c>
      <c r="AD31" s="40">
        <f t="shared" si="16"/>
        <v>1.8125</v>
      </c>
      <c r="AE31" s="35">
        <f t="shared" si="17"/>
        <v>1.7289818305712796</v>
      </c>
      <c r="AF31" s="35">
        <v>100</v>
      </c>
      <c r="AG31" s="35">
        <v>100</v>
      </c>
      <c r="AH31" s="35">
        <f>AI30-(V31/12)</f>
        <v>94.831813370836016</v>
      </c>
      <c r="AI31" s="40">
        <f t="shared" si="18"/>
        <v>93.102831540264731</v>
      </c>
      <c r="AJ31" s="16" t="s">
        <v>103</v>
      </c>
    </row>
    <row r="32" spans="1:36" s="35" customFormat="1" x14ac:dyDescent="0.35">
      <c r="A32" s="35">
        <v>24</v>
      </c>
      <c r="B32" s="36" t="s">
        <v>46</v>
      </c>
      <c r="C32" s="36">
        <v>16</v>
      </c>
      <c r="D32" s="36">
        <v>19</v>
      </c>
      <c r="E32" s="36">
        <v>223</v>
      </c>
      <c r="F32" s="37">
        <f t="shared" si="1"/>
        <v>2.1333333333333333</v>
      </c>
      <c r="G32" s="37">
        <f t="shared" si="2"/>
        <v>0.21333333333333335</v>
      </c>
      <c r="H32" s="37">
        <f t="shared" si="3"/>
        <v>17.28</v>
      </c>
      <c r="I32" s="37">
        <v>57</v>
      </c>
      <c r="J32" s="37">
        <f t="shared" si="4"/>
        <v>0.30315789473684213</v>
      </c>
      <c r="K32" s="38">
        <v>6</v>
      </c>
      <c r="L32" s="38">
        <v>45</v>
      </c>
      <c r="M32" s="39">
        <f t="shared" si="0"/>
        <v>51</v>
      </c>
      <c r="N32" s="38">
        <f t="shared" si="5"/>
        <v>4.0401066666666666E-2</v>
      </c>
      <c r="O32" s="38">
        <f t="shared" si="6"/>
        <v>4.0401066666666671E-3</v>
      </c>
      <c r="P32" s="38">
        <f t="shared" si="7"/>
        <v>0.16160426666666666</v>
      </c>
      <c r="Q32" s="38">
        <f t="shared" si="8"/>
        <v>0.16160426666666666</v>
      </c>
      <c r="R32" s="38">
        <f t="shared" si="9"/>
        <v>0.32724863999999998</v>
      </c>
      <c r="S32" s="38">
        <v>2.5</v>
      </c>
      <c r="T32" s="38">
        <f t="shared" si="10"/>
        <v>4.8989693058581469</v>
      </c>
      <c r="U32" s="38">
        <v>9</v>
      </c>
      <c r="V32" s="38">
        <f t="shared" si="19"/>
        <v>0</v>
      </c>
      <c r="W32" s="38">
        <f t="shared" si="11"/>
        <v>1.75</v>
      </c>
      <c r="X32" s="35">
        <f t="shared" si="12"/>
        <v>4.433286745054563E-3</v>
      </c>
      <c r="Y32" s="35">
        <f t="shared" si="13"/>
        <v>1.1044687500000001</v>
      </c>
      <c r="Z32" s="35">
        <f t="shared" si="14"/>
        <v>0.29629506493506491</v>
      </c>
      <c r="AA32" s="40">
        <f>VLOOKUP(Z32,Table2[#All],2,TRUE)</f>
        <v>0.4</v>
      </c>
      <c r="AB32" s="40">
        <f t="shared" si="15"/>
        <v>0.30000000000000004</v>
      </c>
      <c r="AC32" s="40">
        <f>VLOOKUP(AA32,Table2[#All],3,TRUE)</f>
        <v>0.8</v>
      </c>
      <c r="AD32" s="40">
        <f t="shared" si="16"/>
        <v>2</v>
      </c>
      <c r="AE32" s="35">
        <f t="shared" si="17"/>
        <v>0.98862294414716756</v>
      </c>
      <c r="AF32" s="35">
        <v>100</v>
      </c>
      <c r="AG32" s="35">
        <v>100</v>
      </c>
      <c r="AH32" s="35">
        <f t="shared" ref="AH32:AH33" si="23">AI31-(V32/12)</f>
        <v>93.102831540264731</v>
      </c>
      <c r="AI32" s="40">
        <f t="shared" si="18"/>
        <v>92.114208596117564</v>
      </c>
      <c r="AJ32" s="35" t="s">
        <v>104</v>
      </c>
    </row>
    <row r="33" spans="1:36" s="35" customFormat="1" x14ac:dyDescent="0.35">
      <c r="A33" s="35">
        <v>25</v>
      </c>
      <c r="B33" s="36" t="s">
        <v>47</v>
      </c>
      <c r="C33" s="36">
        <v>19</v>
      </c>
      <c r="D33" s="36">
        <v>35</v>
      </c>
      <c r="E33" s="36">
        <v>267</v>
      </c>
      <c r="F33" s="37">
        <f t="shared" si="1"/>
        <v>3.2</v>
      </c>
      <c r="G33" s="37">
        <f t="shared" si="2"/>
        <v>0.32000000000000006</v>
      </c>
      <c r="H33" s="37">
        <f t="shared" si="3"/>
        <v>25.92</v>
      </c>
      <c r="I33" s="37">
        <v>77</v>
      </c>
      <c r="J33" s="37">
        <f t="shared" si="4"/>
        <v>0.33662337662337666</v>
      </c>
      <c r="K33" s="38">
        <v>9</v>
      </c>
      <c r="L33" s="38">
        <v>132</v>
      </c>
      <c r="M33" s="39">
        <f t="shared" si="0"/>
        <v>141</v>
      </c>
      <c r="N33" s="38">
        <f t="shared" si="5"/>
        <v>0.11169706666666666</v>
      </c>
      <c r="O33" s="38">
        <f t="shared" si="6"/>
        <v>1.1169706666666668E-2</v>
      </c>
      <c r="P33" s="38">
        <f t="shared" si="7"/>
        <v>0.44678826666666666</v>
      </c>
      <c r="Q33" s="38">
        <f t="shared" si="8"/>
        <v>0.44678826666666666</v>
      </c>
      <c r="R33" s="38">
        <f t="shared" si="9"/>
        <v>0.90474623999999992</v>
      </c>
      <c r="S33" s="38">
        <v>2.5</v>
      </c>
      <c r="T33" s="38">
        <f t="shared" si="10"/>
        <v>8.1457145434877454</v>
      </c>
      <c r="U33" s="38">
        <v>12</v>
      </c>
      <c r="V33" s="38">
        <f t="shared" si="19"/>
        <v>3</v>
      </c>
      <c r="W33" s="38">
        <f t="shared" si="11"/>
        <v>2</v>
      </c>
      <c r="X33" s="35">
        <f t="shared" si="12"/>
        <v>3.0209312393881548E-3</v>
      </c>
      <c r="Y33" s="35">
        <f t="shared" si="13"/>
        <v>1.9635</v>
      </c>
      <c r="Z33" s="35">
        <f t="shared" si="14"/>
        <v>0.46078239877769284</v>
      </c>
      <c r="AA33" s="40">
        <f>VLOOKUP(Z33,Table2[#All],2,TRUE)</f>
        <v>0.52500000000000002</v>
      </c>
      <c r="AB33" s="40">
        <f t="shared" si="15"/>
        <v>0.52500000000000002</v>
      </c>
      <c r="AC33" s="40">
        <f>VLOOKUP(AA33,Table2[#All],3,TRUE)</f>
        <v>0.85</v>
      </c>
      <c r="AD33" s="40">
        <f t="shared" si="16"/>
        <v>2.125</v>
      </c>
      <c r="AE33" s="35">
        <f t="shared" si="17"/>
        <v>0.80658864091663729</v>
      </c>
      <c r="AF33" s="35">
        <v>100</v>
      </c>
      <c r="AG33" s="35">
        <v>100</v>
      </c>
      <c r="AH33" s="35">
        <f t="shared" si="23"/>
        <v>91.864208596117564</v>
      </c>
      <c r="AI33" s="40">
        <f t="shared" si="18"/>
        <v>91.05761995520092</v>
      </c>
      <c r="AJ33" s="35" t="s">
        <v>104</v>
      </c>
    </row>
    <row r="34" spans="1:36" s="41" customFormat="1" x14ac:dyDescent="0.35">
      <c r="A34" s="41">
        <v>26</v>
      </c>
      <c r="B34" s="42" t="s">
        <v>48</v>
      </c>
      <c r="C34" s="43">
        <v>20</v>
      </c>
      <c r="D34" s="43">
        <v>21</v>
      </c>
      <c r="E34" s="43">
        <v>295</v>
      </c>
      <c r="F34" s="44">
        <f t="shared" si="1"/>
        <v>3.9111111111111114</v>
      </c>
      <c r="G34" s="44">
        <f t="shared" si="2"/>
        <v>0.39111111111111119</v>
      </c>
      <c r="H34" s="44">
        <f t="shared" si="3"/>
        <v>31.680000000000003</v>
      </c>
      <c r="I34" s="44">
        <v>98</v>
      </c>
      <c r="J34" s="44">
        <f t="shared" si="4"/>
        <v>0.32326530612244903</v>
      </c>
      <c r="K34" s="43">
        <v>11</v>
      </c>
      <c r="L34" s="43">
        <v>0</v>
      </c>
      <c r="M34" s="45">
        <f t="shared" si="0"/>
        <v>11</v>
      </c>
      <c r="N34" s="44">
        <f t="shared" si="5"/>
        <v>8.7139555555555553E-3</v>
      </c>
      <c r="O34" s="43">
        <f t="shared" si="6"/>
        <v>8.7139555555555562E-4</v>
      </c>
      <c r="P34" s="43">
        <f t="shared" si="7"/>
        <v>3.4855822222222221E-2</v>
      </c>
      <c r="Q34" s="43">
        <f t="shared" si="8"/>
        <v>3.4855822222222221E-2</v>
      </c>
      <c r="R34" s="43">
        <f t="shared" si="9"/>
        <v>7.058304E-2</v>
      </c>
      <c r="S34" s="44">
        <v>2.5</v>
      </c>
      <c r="T34" s="44">
        <f t="shared" si="10"/>
        <v>2.2751811083142925</v>
      </c>
      <c r="U34" s="43">
        <v>9</v>
      </c>
      <c r="V34" s="44">
        <v>0</v>
      </c>
      <c r="W34" s="44">
        <f t="shared" si="11"/>
        <v>1.75</v>
      </c>
      <c r="X34" s="46">
        <f t="shared" si="12"/>
        <v>4.433286745054563E-3</v>
      </c>
      <c r="Y34" s="46">
        <f t="shared" si="13"/>
        <v>1.1044687500000001</v>
      </c>
      <c r="Z34" s="46">
        <f t="shared" si="14"/>
        <v>6.3906778711484591E-2</v>
      </c>
      <c r="AA34" s="46">
        <f>VLOOKUP(Z34,Table2[#All],2,TRUE)</f>
        <v>7.4999999999999997E-2</v>
      </c>
      <c r="AB34" s="46">
        <f t="shared" si="15"/>
        <v>5.6249999999999994E-2</v>
      </c>
      <c r="AC34" s="46">
        <f>VLOOKUP(AA34,Table2[#All],3,TRUE)</f>
        <v>0.25</v>
      </c>
      <c r="AD34" s="46">
        <f t="shared" si="16"/>
        <v>0.625</v>
      </c>
      <c r="AE34" s="46">
        <f t="shared" si="17"/>
        <v>1.307819589791096</v>
      </c>
      <c r="AF34" s="46">
        <v>100</v>
      </c>
      <c r="AG34" s="46">
        <v>100</v>
      </c>
      <c r="AH34" s="41">
        <f>AF34-3-(U34/12)-(W34/12)</f>
        <v>96.104166666666671</v>
      </c>
      <c r="AI34" s="46">
        <f t="shared" si="18"/>
        <v>94.796347076875577</v>
      </c>
    </row>
    <row r="35" spans="1:36" s="41" customFormat="1" x14ac:dyDescent="0.35">
      <c r="A35" s="41">
        <v>27</v>
      </c>
      <c r="B35" s="42" t="s">
        <v>49</v>
      </c>
      <c r="C35" s="43">
        <v>21</v>
      </c>
      <c r="D35" s="43">
        <v>23</v>
      </c>
      <c r="E35" s="43">
        <v>167</v>
      </c>
      <c r="F35" s="44">
        <f t="shared" si="1"/>
        <v>2.1333333333333333</v>
      </c>
      <c r="G35" s="44">
        <f t="shared" si="2"/>
        <v>0.21333333333333335</v>
      </c>
      <c r="H35" s="44">
        <f t="shared" si="3"/>
        <v>17.28</v>
      </c>
      <c r="I35" s="44">
        <v>56</v>
      </c>
      <c r="J35" s="44">
        <f t="shared" si="4"/>
        <v>0.30857142857142861</v>
      </c>
      <c r="K35" s="43">
        <v>6</v>
      </c>
      <c r="L35" s="43">
        <v>11</v>
      </c>
      <c r="M35" s="45">
        <f t="shared" si="0"/>
        <v>17</v>
      </c>
      <c r="N35" s="44">
        <f t="shared" si="5"/>
        <v>1.3467022222222224E-2</v>
      </c>
      <c r="O35" s="43">
        <f t="shared" si="6"/>
        <v>1.3467022222222224E-3</v>
      </c>
      <c r="P35" s="43">
        <f t="shared" si="7"/>
        <v>5.3868088888888895E-2</v>
      </c>
      <c r="Q35" s="43">
        <f t="shared" si="8"/>
        <v>5.3868088888888895E-2</v>
      </c>
      <c r="R35" s="43">
        <f t="shared" si="9"/>
        <v>0.10908288000000001</v>
      </c>
      <c r="S35" s="44">
        <v>2.5</v>
      </c>
      <c r="T35" s="44">
        <f t="shared" si="10"/>
        <v>2.8284212474889157</v>
      </c>
      <c r="U35" s="43">
        <v>9</v>
      </c>
      <c r="V35" s="44">
        <f t="shared" si="19"/>
        <v>0</v>
      </c>
      <c r="W35" s="44">
        <f t="shared" si="11"/>
        <v>1.75</v>
      </c>
      <c r="X35" s="46">
        <f t="shared" si="12"/>
        <v>4.433286745054563E-3</v>
      </c>
      <c r="Y35" s="46">
        <f t="shared" si="13"/>
        <v>1.1044687500000001</v>
      </c>
      <c r="Z35" s="46">
        <f t="shared" si="14"/>
        <v>9.8765021645021642E-2</v>
      </c>
      <c r="AA35" s="46">
        <f>VLOOKUP(Z35,Table2[#All],2,TRUE)</f>
        <v>7.4999999999999997E-2</v>
      </c>
      <c r="AB35" s="46">
        <f t="shared" si="15"/>
        <v>5.6249999999999994E-2</v>
      </c>
      <c r="AC35" s="46">
        <f>VLOOKUP(AA35,Table2[#All],3,TRUE)</f>
        <v>0.25</v>
      </c>
      <c r="AD35" s="46">
        <f t="shared" si="16"/>
        <v>0.625</v>
      </c>
      <c r="AE35" s="46">
        <f t="shared" si="17"/>
        <v>0.74035888642411207</v>
      </c>
      <c r="AF35" s="46">
        <v>100</v>
      </c>
      <c r="AG35" s="46">
        <v>100</v>
      </c>
      <c r="AH35" s="41">
        <f>AI34-(V35/12)</f>
        <v>94.796347076875577</v>
      </c>
      <c r="AI35" s="46">
        <f t="shared" si="18"/>
        <v>94.055988190451458</v>
      </c>
    </row>
    <row r="36" spans="1:36" s="41" customFormat="1" x14ac:dyDescent="0.35">
      <c r="A36" s="41">
        <v>28</v>
      </c>
      <c r="B36" s="42" t="s">
        <v>50</v>
      </c>
      <c r="C36" s="43">
        <v>23</v>
      </c>
      <c r="D36" s="43">
        <v>25</v>
      </c>
      <c r="E36" s="43">
        <v>183</v>
      </c>
      <c r="F36" s="44">
        <f t="shared" si="1"/>
        <v>5.6888888888888891</v>
      </c>
      <c r="G36" s="44">
        <f t="shared" si="2"/>
        <v>0.56888888888888889</v>
      </c>
      <c r="H36" s="44">
        <f t="shared" si="3"/>
        <v>46.08</v>
      </c>
      <c r="I36" s="44">
        <v>140</v>
      </c>
      <c r="J36" s="44">
        <f t="shared" si="4"/>
        <v>0.32914285714285713</v>
      </c>
      <c r="K36" s="43">
        <v>16</v>
      </c>
      <c r="L36" s="43">
        <v>28</v>
      </c>
      <c r="M36" s="45">
        <f t="shared" si="0"/>
        <v>44</v>
      </c>
      <c r="N36" s="44">
        <f t="shared" si="5"/>
        <v>3.4855822222222221E-2</v>
      </c>
      <c r="O36" s="43">
        <f t="shared" si="6"/>
        <v>3.4855822222222225E-3</v>
      </c>
      <c r="P36" s="43">
        <f t="shared" si="7"/>
        <v>0.13942328888888889</v>
      </c>
      <c r="Q36" s="43">
        <f t="shared" si="8"/>
        <v>0.13942328888888889</v>
      </c>
      <c r="R36" s="43">
        <f t="shared" si="9"/>
        <v>0.28233216</v>
      </c>
      <c r="S36" s="44">
        <v>2.5</v>
      </c>
      <c r="T36" s="44">
        <f t="shared" si="10"/>
        <v>4.5503622166285851</v>
      </c>
      <c r="U36" s="43">
        <v>9</v>
      </c>
      <c r="V36" s="44">
        <f t="shared" si="19"/>
        <v>0</v>
      </c>
      <c r="W36" s="44">
        <f t="shared" si="11"/>
        <v>1.75</v>
      </c>
      <c r="X36" s="46">
        <f t="shared" si="12"/>
        <v>4.433286745054563E-3</v>
      </c>
      <c r="Y36" s="46">
        <f t="shared" si="13"/>
        <v>1.1044687500000001</v>
      </c>
      <c r="Z36" s="46">
        <f t="shared" si="14"/>
        <v>0.25562711484593836</v>
      </c>
      <c r="AA36" s="46">
        <f>VLOOKUP(Z36,Table2[#All],2,TRUE)</f>
        <v>0.4</v>
      </c>
      <c r="AB36" s="46">
        <f t="shared" si="15"/>
        <v>0.30000000000000004</v>
      </c>
      <c r="AC36" s="46">
        <f>VLOOKUP(AA36,Table2[#All],3,TRUE)</f>
        <v>0.8</v>
      </c>
      <c r="AD36" s="46">
        <f t="shared" si="16"/>
        <v>2</v>
      </c>
      <c r="AE36" s="46">
        <f t="shared" si="17"/>
        <v>0.81129147434498505</v>
      </c>
      <c r="AF36" s="46">
        <v>100</v>
      </c>
      <c r="AG36" s="46">
        <v>100</v>
      </c>
      <c r="AH36" s="41">
        <f t="shared" ref="AH36:AH37" si="24">AI35-(V36/12)</f>
        <v>94.055988190451458</v>
      </c>
      <c r="AI36" s="46">
        <f t="shared" si="18"/>
        <v>93.244696716106475</v>
      </c>
      <c r="AJ36" s="41" t="s">
        <v>104</v>
      </c>
    </row>
    <row r="37" spans="1:36" s="41" customFormat="1" x14ac:dyDescent="0.35">
      <c r="A37" s="41">
        <v>29</v>
      </c>
      <c r="B37" s="42" t="s">
        <v>51</v>
      </c>
      <c r="C37" s="43">
        <v>25</v>
      </c>
      <c r="D37" s="43">
        <v>34</v>
      </c>
      <c r="E37" s="43">
        <v>128</v>
      </c>
      <c r="F37" s="44">
        <f t="shared" si="1"/>
        <v>3.2</v>
      </c>
      <c r="G37" s="44">
        <f t="shared" si="2"/>
        <v>0.32000000000000006</v>
      </c>
      <c r="H37" s="44">
        <f t="shared" si="3"/>
        <v>25.92</v>
      </c>
      <c r="I37" s="44">
        <v>84</v>
      </c>
      <c r="J37" s="44">
        <f t="shared" si="4"/>
        <v>0.30857142857142861</v>
      </c>
      <c r="K37" s="43">
        <v>9</v>
      </c>
      <c r="L37" s="43">
        <v>49</v>
      </c>
      <c r="M37" s="45">
        <f t="shared" si="0"/>
        <v>58</v>
      </c>
      <c r="N37" s="44">
        <f t="shared" si="5"/>
        <v>4.594631111111111E-2</v>
      </c>
      <c r="O37" s="43">
        <f t="shared" si="6"/>
        <v>4.5946311111111108E-3</v>
      </c>
      <c r="P37" s="43">
        <f t="shared" si="7"/>
        <v>0.18378524444444444</v>
      </c>
      <c r="Q37" s="43">
        <f t="shared" si="8"/>
        <v>0.18378524444444444</v>
      </c>
      <c r="R37" s="43">
        <f t="shared" si="9"/>
        <v>0.37216512000000002</v>
      </c>
      <c r="S37" s="44">
        <v>2.5</v>
      </c>
      <c r="T37" s="44">
        <f t="shared" si="10"/>
        <v>5.2243663938280127</v>
      </c>
      <c r="U37" s="43">
        <v>9</v>
      </c>
      <c r="V37" s="44">
        <f t="shared" si="19"/>
        <v>0</v>
      </c>
      <c r="W37" s="44">
        <f t="shared" si="11"/>
        <v>1.75</v>
      </c>
      <c r="X37" s="46">
        <f t="shared" si="12"/>
        <v>4.433286745054563E-3</v>
      </c>
      <c r="Y37" s="46">
        <f t="shared" si="13"/>
        <v>1.1044687500000001</v>
      </c>
      <c r="Z37" s="46">
        <f t="shared" si="14"/>
        <v>0.33696301502419146</v>
      </c>
      <c r="AA37" s="46">
        <f>VLOOKUP(Z37,Table2[#All],2,TRUE)</f>
        <v>0.42499999999999999</v>
      </c>
      <c r="AB37" s="46">
        <f t="shared" si="15"/>
        <v>0.31874999999999998</v>
      </c>
      <c r="AC37" s="46">
        <f>VLOOKUP(AA37,Table2[#All],3,TRUE)</f>
        <v>0.8</v>
      </c>
      <c r="AD37" s="46">
        <f t="shared" si="16"/>
        <v>2</v>
      </c>
      <c r="AE37" s="46">
        <f t="shared" si="17"/>
        <v>0.56746070336698406</v>
      </c>
      <c r="AF37" s="46">
        <v>100</v>
      </c>
      <c r="AG37" s="46">
        <v>100</v>
      </c>
      <c r="AH37" s="41">
        <f t="shared" si="24"/>
        <v>93.244696716106475</v>
      </c>
      <c r="AI37" s="46">
        <f t="shared" si="18"/>
        <v>92.677236012739485</v>
      </c>
      <c r="AJ37" s="41" t="s">
        <v>104</v>
      </c>
    </row>
    <row r="38" spans="1:36" s="47" customFormat="1" x14ac:dyDescent="0.35">
      <c r="A38" s="47">
        <v>30</v>
      </c>
      <c r="B38" s="48" t="s">
        <v>52</v>
      </c>
      <c r="C38" s="49">
        <v>13</v>
      </c>
      <c r="D38" s="49">
        <v>14</v>
      </c>
      <c r="E38" s="49">
        <v>292</v>
      </c>
      <c r="F38" s="25">
        <f t="shared" si="1"/>
        <v>1.0666666666666667</v>
      </c>
      <c r="G38" s="25">
        <f t="shared" si="2"/>
        <v>0.10666666666666667</v>
      </c>
      <c r="H38" s="25">
        <f t="shared" si="3"/>
        <v>8.64</v>
      </c>
      <c r="I38" s="25">
        <v>28</v>
      </c>
      <c r="J38" s="25">
        <f t="shared" si="4"/>
        <v>0.30857142857142861</v>
      </c>
      <c r="K38" s="50">
        <v>3</v>
      </c>
      <c r="L38" s="50">
        <v>0</v>
      </c>
      <c r="M38" s="51">
        <f t="shared" si="0"/>
        <v>3</v>
      </c>
      <c r="N38" s="50">
        <f t="shared" si="5"/>
        <v>2.3765333333333333E-3</v>
      </c>
      <c r="O38" s="50">
        <f t="shared" si="6"/>
        <v>2.3765333333333334E-4</v>
      </c>
      <c r="P38" s="50">
        <f t="shared" si="7"/>
        <v>9.5061333333333331E-3</v>
      </c>
      <c r="Q38" s="50">
        <f t="shared" si="8"/>
        <v>9.5061333333333331E-3</v>
      </c>
      <c r="R38" s="50">
        <f t="shared" si="9"/>
        <v>1.924992E-2</v>
      </c>
      <c r="S38" s="50">
        <v>2.5</v>
      </c>
      <c r="T38" s="50">
        <f t="shared" si="10"/>
        <v>1.188174582630116</v>
      </c>
      <c r="U38" s="50">
        <v>9</v>
      </c>
      <c r="V38" s="50">
        <f t="shared" si="19"/>
        <v>0</v>
      </c>
      <c r="W38" s="50">
        <f t="shared" si="11"/>
        <v>1.75</v>
      </c>
      <c r="X38" s="47">
        <f t="shared" si="12"/>
        <v>4.433286745054563E-3</v>
      </c>
      <c r="Y38" s="47">
        <f t="shared" si="13"/>
        <v>1.1044687500000001</v>
      </c>
      <c r="Z38" s="47">
        <f t="shared" si="14"/>
        <v>1.7429121466768525E-2</v>
      </c>
      <c r="AA38" s="24">
        <f>VLOOKUP(Z38,Table2[#All],2,TRUE)</f>
        <v>0.05</v>
      </c>
      <c r="AB38" s="24">
        <f t="shared" si="15"/>
        <v>3.7500000000000006E-2</v>
      </c>
      <c r="AC38" s="24">
        <f>VLOOKUP(AA38,Table2[#All],3,TRUE)</f>
        <v>0.25</v>
      </c>
      <c r="AD38" s="24">
        <f t="shared" si="16"/>
        <v>0.625</v>
      </c>
      <c r="AE38" s="47">
        <f t="shared" si="17"/>
        <v>1.2945197295559323</v>
      </c>
      <c r="AF38" s="47">
        <v>100</v>
      </c>
      <c r="AG38" s="47">
        <v>100</v>
      </c>
      <c r="AH38" s="47">
        <f>AF38-3-(U38/12)-(W38/12)</f>
        <v>96.104166666666671</v>
      </c>
      <c r="AI38" s="24">
        <f t="shared" si="18"/>
        <v>94.809646937110742</v>
      </c>
      <c r="AJ38" s="16" t="s">
        <v>98</v>
      </c>
    </row>
    <row r="39" spans="1:36" s="47" customFormat="1" x14ac:dyDescent="0.35">
      <c r="A39" s="47">
        <v>31</v>
      </c>
      <c r="B39" s="49" t="s">
        <v>53</v>
      </c>
      <c r="C39" s="49">
        <v>14</v>
      </c>
      <c r="D39" s="49">
        <v>15</v>
      </c>
      <c r="E39" s="50">
        <v>193</v>
      </c>
      <c r="F39" s="25">
        <f t="shared" si="1"/>
        <v>3.9111111111111114</v>
      </c>
      <c r="G39" s="25">
        <f t="shared" si="2"/>
        <v>0.39111111111111119</v>
      </c>
      <c r="H39" s="25">
        <f t="shared" si="3"/>
        <v>31.680000000000003</v>
      </c>
      <c r="I39" s="25">
        <v>99</v>
      </c>
      <c r="J39" s="25">
        <f t="shared" si="4"/>
        <v>0.32</v>
      </c>
      <c r="K39" s="50">
        <v>11</v>
      </c>
      <c r="L39" s="50">
        <v>3</v>
      </c>
      <c r="M39" s="51">
        <f t="shared" si="0"/>
        <v>14</v>
      </c>
      <c r="N39" s="50">
        <f t="shared" si="5"/>
        <v>1.1090488888888889E-2</v>
      </c>
      <c r="O39" s="50">
        <f t="shared" si="6"/>
        <v>1.109048888888889E-3</v>
      </c>
      <c r="P39" s="50">
        <f t="shared" si="7"/>
        <v>4.4361955555555554E-2</v>
      </c>
      <c r="Q39" s="50">
        <f t="shared" si="8"/>
        <v>4.4361955555555554E-2</v>
      </c>
      <c r="R39" s="50">
        <f t="shared" si="9"/>
        <v>8.9832960000000003E-2</v>
      </c>
      <c r="S39" s="50">
        <v>2.5</v>
      </c>
      <c r="T39" s="50">
        <f t="shared" si="10"/>
        <v>2.5667504581549219</v>
      </c>
      <c r="U39" s="50">
        <v>9</v>
      </c>
      <c r="V39" s="50">
        <f t="shared" si="19"/>
        <v>0</v>
      </c>
      <c r="W39" s="50">
        <f t="shared" si="11"/>
        <v>1.75</v>
      </c>
      <c r="X39" s="47">
        <f t="shared" si="12"/>
        <v>4.433286745054563E-3</v>
      </c>
      <c r="Y39" s="47">
        <f t="shared" si="13"/>
        <v>1.1044687500000001</v>
      </c>
      <c r="Z39" s="47">
        <f t="shared" si="14"/>
        <v>8.1335900178253109E-2</v>
      </c>
      <c r="AA39" s="24">
        <f>VLOOKUP(Z39,Table2[#All],2,TRUE)</f>
        <v>7.4999999999999997E-2</v>
      </c>
      <c r="AB39" s="24">
        <f t="shared" si="15"/>
        <v>5.6249999999999994E-2</v>
      </c>
      <c r="AC39" s="24">
        <f>VLOOKUP(AA39,Table2[#All],3,TRUE)</f>
        <v>0.25</v>
      </c>
      <c r="AD39" s="24">
        <f t="shared" si="16"/>
        <v>0.625</v>
      </c>
      <c r="AE39" s="47">
        <f t="shared" si="17"/>
        <v>0.85562434179553071</v>
      </c>
      <c r="AF39" s="47">
        <v>100</v>
      </c>
      <c r="AG39" s="47">
        <v>100</v>
      </c>
      <c r="AH39" s="47">
        <f>AI38-(V39/12)</f>
        <v>94.809646937110742</v>
      </c>
      <c r="AI39" s="24">
        <f t="shared" si="18"/>
        <v>93.954022595315209</v>
      </c>
      <c r="AJ39" s="16" t="s">
        <v>98</v>
      </c>
    </row>
    <row r="40" spans="1:36" s="47" customFormat="1" x14ac:dyDescent="0.35">
      <c r="A40" s="47">
        <v>32</v>
      </c>
      <c r="B40" s="49" t="s">
        <v>54</v>
      </c>
      <c r="C40" s="49">
        <v>15</v>
      </c>
      <c r="D40" s="49">
        <v>16</v>
      </c>
      <c r="E40" s="50">
        <v>209</v>
      </c>
      <c r="F40" s="25">
        <f t="shared" si="1"/>
        <v>1.4222222222222223</v>
      </c>
      <c r="G40" s="25">
        <f t="shared" si="2"/>
        <v>0.14222222222222222</v>
      </c>
      <c r="H40" s="25">
        <f t="shared" si="3"/>
        <v>11.52</v>
      </c>
      <c r="I40" s="25">
        <v>36</v>
      </c>
      <c r="J40" s="25">
        <f t="shared" si="4"/>
        <v>0.32</v>
      </c>
      <c r="K40" s="50">
        <v>4</v>
      </c>
      <c r="L40" s="50">
        <v>14</v>
      </c>
      <c r="M40" s="51">
        <f t="shared" si="0"/>
        <v>18</v>
      </c>
      <c r="N40" s="50">
        <f t="shared" si="5"/>
        <v>1.42592E-2</v>
      </c>
      <c r="O40" s="50">
        <f t="shared" si="6"/>
        <v>1.42592E-3</v>
      </c>
      <c r="P40" s="50">
        <f t="shared" si="7"/>
        <v>5.7036799999999999E-2</v>
      </c>
      <c r="Q40" s="50">
        <f t="shared" si="8"/>
        <v>5.7036799999999999E-2</v>
      </c>
      <c r="R40" s="50">
        <f t="shared" si="9"/>
        <v>0.11549951999999999</v>
      </c>
      <c r="S40" s="50">
        <v>2.5</v>
      </c>
      <c r="T40" s="50">
        <f t="shared" si="10"/>
        <v>2.9104214527881531</v>
      </c>
      <c r="U40" s="50">
        <v>9</v>
      </c>
      <c r="V40" s="50">
        <f t="shared" si="19"/>
        <v>0</v>
      </c>
      <c r="W40" s="50">
        <f t="shared" si="11"/>
        <v>1.75</v>
      </c>
      <c r="X40" s="47">
        <f t="shared" si="12"/>
        <v>4.433286745054563E-3</v>
      </c>
      <c r="Y40" s="47">
        <f t="shared" si="13"/>
        <v>1.1044687500000001</v>
      </c>
      <c r="Z40" s="47">
        <f t="shared" si="14"/>
        <v>0.10457472880061114</v>
      </c>
      <c r="AA40" s="24">
        <f>VLOOKUP(Z40,Table2[#All],2,TRUE)</f>
        <v>0.25</v>
      </c>
      <c r="AB40" s="24">
        <f t="shared" si="15"/>
        <v>0.1875</v>
      </c>
      <c r="AC40" s="24">
        <f>VLOOKUP(AA40,Table2[#All],3,TRUE)</f>
        <v>0.7</v>
      </c>
      <c r="AD40" s="24">
        <f t="shared" si="16"/>
        <v>1.75</v>
      </c>
      <c r="AE40" s="47">
        <f t="shared" si="17"/>
        <v>0.92655692971640369</v>
      </c>
      <c r="AF40" s="47">
        <v>100</v>
      </c>
      <c r="AG40" s="47">
        <v>100</v>
      </c>
      <c r="AH40" s="47">
        <f>AI39-(V40/12)</f>
        <v>93.954022595315209</v>
      </c>
      <c r="AI40" s="24">
        <f t="shared" si="18"/>
        <v>93.027465665598811</v>
      </c>
      <c r="AJ40" s="16" t="s">
        <v>103</v>
      </c>
    </row>
    <row r="41" spans="1:36" s="52" customFormat="1" x14ac:dyDescent="0.35">
      <c r="A41" s="52">
        <v>33</v>
      </c>
      <c r="B41" s="53" t="s">
        <v>13</v>
      </c>
      <c r="C41" s="53">
        <v>40</v>
      </c>
      <c r="D41" s="53">
        <v>41</v>
      </c>
      <c r="E41" s="53">
        <v>450</v>
      </c>
      <c r="F41" s="53">
        <f t="shared" si="1"/>
        <v>1.0666666666666667</v>
      </c>
      <c r="G41" s="53">
        <f t="shared" si="2"/>
        <v>0.10666666666666667</v>
      </c>
      <c r="H41" s="53">
        <f t="shared" si="3"/>
        <v>8.64</v>
      </c>
      <c r="I41" s="53">
        <v>28</v>
      </c>
      <c r="J41" s="53">
        <f t="shared" si="4"/>
        <v>0.30857142857142861</v>
      </c>
      <c r="K41" s="53">
        <v>3</v>
      </c>
      <c r="L41" s="53">
        <v>0</v>
      </c>
      <c r="M41" s="54">
        <f t="shared" si="0"/>
        <v>3</v>
      </c>
      <c r="N41" s="53">
        <f t="shared" si="5"/>
        <v>2.3765333333333333E-3</v>
      </c>
      <c r="O41" s="53">
        <f t="shared" si="6"/>
        <v>2.3765333333333334E-4</v>
      </c>
      <c r="P41" s="53">
        <f t="shared" si="7"/>
        <v>9.5061333333333331E-3</v>
      </c>
      <c r="Q41" s="53">
        <f t="shared" si="8"/>
        <v>9.5061333333333331E-3</v>
      </c>
      <c r="R41" s="53">
        <f t="shared" si="9"/>
        <v>1.924992E-2</v>
      </c>
      <c r="S41" s="53">
        <v>2.5</v>
      </c>
      <c r="T41" s="53">
        <f t="shared" si="10"/>
        <v>1.188174582630116</v>
      </c>
      <c r="U41" s="53">
        <v>9</v>
      </c>
      <c r="V41" s="53">
        <f t="shared" si="19"/>
        <v>0</v>
      </c>
      <c r="W41" s="53">
        <f t="shared" si="11"/>
        <v>1.75</v>
      </c>
      <c r="X41" s="52">
        <f t="shared" si="12"/>
        <v>4.433286745054563E-3</v>
      </c>
      <c r="Y41" s="52">
        <f t="shared" si="13"/>
        <v>1.1044687500000001</v>
      </c>
      <c r="Z41" s="52">
        <f t="shared" si="14"/>
        <v>1.7429121466768525E-2</v>
      </c>
      <c r="AA41" s="52">
        <f>VLOOKUP(Z41,Table2[#All],2,TRUE)</f>
        <v>0.05</v>
      </c>
      <c r="AB41" s="52">
        <f t="shared" si="15"/>
        <v>3.7500000000000006E-2</v>
      </c>
      <c r="AC41" s="52">
        <f>VLOOKUP(AA41,Table2[#All],3,TRUE)</f>
        <v>0.25</v>
      </c>
      <c r="AD41" s="52">
        <f t="shared" si="16"/>
        <v>0.625</v>
      </c>
      <c r="AE41" s="52">
        <f t="shared" si="17"/>
        <v>1.9949790352745533</v>
      </c>
      <c r="AF41" s="52">
        <v>100</v>
      </c>
      <c r="AG41" s="52">
        <v>100</v>
      </c>
      <c r="AH41" s="52">
        <f>AF41-3-(U41/12)-(W41/12)</f>
        <v>96.104166666666671</v>
      </c>
      <c r="AI41" s="52">
        <f t="shared" si="18"/>
        <v>94.109187631392118</v>
      </c>
      <c r="AJ41" s="16" t="s">
        <v>98</v>
      </c>
    </row>
    <row r="42" spans="1:36" s="52" customFormat="1" x14ac:dyDescent="0.35">
      <c r="A42" s="52">
        <v>34</v>
      </c>
      <c r="B42" s="53" t="s">
        <v>14</v>
      </c>
      <c r="C42" s="53">
        <v>41</v>
      </c>
      <c r="D42" s="53">
        <v>42</v>
      </c>
      <c r="E42" s="53">
        <v>432</v>
      </c>
      <c r="F42" s="53">
        <f t="shared" si="1"/>
        <v>2.1333333333333333</v>
      </c>
      <c r="G42" s="53">
        <f t="shared" si="2"/>
        <v>0.21333333333333335</v>
      </c>
      <c r="H42" s="53">
        <f t="shared" si="3"/>
        <v>17.28</v>
      </c>
      <c r="I42" s="53">
        <v>56</v>
      </c>
      <c r="J42" s="53">
        <f t="shared" si="4"/>
        <v>0.30857142857142861</v>
      </c>
      <c r="K42" s="53">
        <v>6</v>
      </c>
      <c r="L42" s="53">
        <v>3</v>
      </c>
      <c r="M42" s="54">
        <f t="shared" si="0"/>
        <v>9</v>
      </c>
      <c r="N42" s="53">
        <f t="shared" si="5"/>
        <v>7.1295999999999998E-3</v>
      </c>
      <c r="O42" s="53">
        <f t="shared" si="6"/>
        <v>7.1296E-4</v>
      </c>
      <c r="P42" s="53">
        <f t="shared" si="7"/>
        <v>2.8518399999999999E-2</v>
      </c>
      <c r="Q42" s="53">
        <f t="shared" si="8"/>
        <v>2.8518399999999999E-2</v>
      </c>
      <c r="R42" s="53">
        <f t="shared" si="9"/>
        <v>5.7749759999999997E-2</v>
      </c>
      <c r="S42" s="53">
        <v>2.5</v>
      </c>
      <c r="T42" s="53">
        <f t="shared" si="10"/>
        <v>2.0579787453773064</v>
      </c>
      <c r="U42" s="53">
        <v>9</v>
      </c>
      <c r="V42" s="53">
        <f t="shared" si="19"/>
        <v>0</v>
      </c>
      <c r="W42" s="53">
        <f t="shared" si="11"/>
        <v>1.75</v>
      </c>
      <c r="X42" s="52">
        <f t="shared" si="12"/>
        <v>4.433286745054563E-3</v>
      </c>
      <c r="Y42" s="52">
        <f t="shared" si="13"/>
        <v>1.1044687500000001</v>
      </c>
      <c r="Z42" s="52">
        <f t="shared" si="14"/>
        <v>5.2287364400305569E-2</v>
      </c>
      <c r="AA42" s="52">
        <f>VLOOKUP(Z42,Table2[#All],2,TRUE)</f>
        <v>7.4999999999999997E-2</v>
      </c>
      <c r="AB42" s="52">
        <f t="shared" si="15"/>
        <v>5.6249999999999994E-2</v>
      </c>
      <c r="AC42" s="52">
        <f>VLOOKUP(AA42,Table2[#All],3,TRUE)</f>
        <v>0.25</v>
      </c>
      <c r="AD42" s="52">
        <f t="shared" si="16"/>
        <v>0.625</v>
      </c>
      <c r="AE42" s="52">
        <f t="shared" si="17"/>
        <v>1.9151798738635712</v>
      </c>
      <c r="AF42" s="52">
        <v>100</v>
      </c>
      <c r="AG42" s="52">
        <v>100</v>
      </c>
      <c r="AH42" s="52">
        <f>AI41-(V42/12)</f>
        <v>94.109187631392118</v>
      </c>
      <c r="AI42" s="52">
        <f t="shared" si="18"/>
        <v>92.194007757528553</v>
      </c>
      <c r="AJ42" s="16" t="s">
        <v>98</v>
      </c>
    </row>
    <row r="43" spans="1:36" s="52" customFormat="1" x14ac:dyDescent="0.35">
      <c r="A43" s="52">
        <v>35</v>
      </c>
      <c r="B43" s="53" t="s">
        <v>55</v>
      </c>
      <c r="C43" s="53">
        <v>42</v>
      </c>
      <c r="D43" s="53">
        <v>49</v>
      </c>
      <c r="E43" s="53">
        <v>207</v>
      </c>
      <c r="F43" s="53">
        <f t="shared" si="1"/>
        <v>3.2</v>
      </c>
      <c r="G43" s="53">
        <f t="shared" si="2"/>
        <v>0.32000000000000006</v>
      </c>
      <c r="H43" s="53">
        <f t="shared" si="3"/>
        <v>25.92</v>
      </c>
      <c r="I43" s="53">
        <v>76</v>
      </c>
      <c r="J43" s="53">
        <f t="shared" si="4"/>
        <v>0.34105263157894739</v>
      </c>
      <c r="K43" s="53">
        <v>9</v>
      </c>
      <c r="L43" s="53">
        <v>9</v>
      </c>
      <c r="M43" s="54">
        <f t="shared" si="0"/>
        <v>18</v>
      </c>
      <c r="N43" s="53">
        <f t="shared" si="5"/>
        <v>1.42592E-2</v>
      </c>
      <c r="O43" s="53">
        <f t="shared" si="6"/>
        <v>1.42592E-3</v>
      </c>
      <c r="P43" s="53">
        <f t="shared" si="7"/>
        <v>5.7036799999999999E-2</v>
      </c>
      <c r="Q43" s="53">
        <f t="shared" si="8"/>
        <v>5.7036799999999999E-2</v>
      </c>
      <c r="R43" s="53">
        <f t="shared" si="9"/>
        <v>0.11549951999999999</v>
      </c>
      <c r="S43" s="53">
        <v>2.5</v>
      </c>
      <c r="T43" s="53">
        <f t="shared" si="10"/>
        <v>2.9104214527881531</v>
      </c>
      <c r="U43" s="53">
        <v>9</v>
      </c>
      <c r="V43" s="53">
        <f t="shared" si="19"/>
        <v>0</v>
      </c>
      <c r="W43" s="53">
        <f t="shared" si="11"/>
        <v>1.75</v>
      </c>
      <c r="X43" s="52">
        <f t="shared" si="12"/>
        <v>4.433286745054563E-3</v>
      </c>
      <c r="Y43" s="52">
        <f t="shared" si="13"/>
        <v>1.1044687500000001</v>
      </c>
      <c r="Z43" s="52">
        <f t="shared" si="14"/>
        <v>0.10457472880061114</v>
      </c>
      <c r="AA43" s="52">
        <f>VLOOKUP(Z43,Table2[#All],2,TRUE)</f>
        <v>0.25</v>
      </c>
      <c r="AB43" s="52">
        <f t="shared" si="15"/>
        <v>0.1875</v>
      </c>
      <c r="AC43" s="52">
        <f>VLOOKUP(AA43,Table2[#All],3,TRUE)</f>
        <v>0.7</v>
      </c>
      <c r="AD43" s="52">
        <f t="shared" si="16"/>
        <v>1.75</v>
      </c>
      <c r="AE43" s="52">
        <f t="shared" si="17"/>
        <v>0.91769035622629458</v>
      </c>
      <c r="AF43" s="52">
        <v>100</v>
      </c>
      <c r="AG43" s="52">
        <v>100</v>
      </c>
      <c r="AH43" s="52">
        <f>AI42-(V43/12)</f>
        <v>92.194007757528553</v>
      </c>
      <c r="AI43" s="52">
        <f t="shared" si="18"/>
        <v>91.276317401302265</v>
      </c>
      <c r="AJ43" s="16" t="s">
        <v>103</v>
      </c>
    </row>
    <row r="44" spans="1:36" s="55" customFormat="1" x14ac:dyDescent="0.35">
      <c r="A44" s="55">
        <v>36</v>
      </c>
      <c r="B44" s="56" t="s">
        <v>56</v>
      </c>
      <c r="C44" s="56">
        <v>46</v>
      </c>
      <c r="D44" s="56">
        <v>47</v>
      </c>
      <c r="E44" s="56">
        <v>437</v>
      </c>
      <c r="F44" s="57">
        <f t="shared" si="1"/>
        <v>3.5555555555555558</v>
      </c>
      <c r="G44" s="57">
        <f t="shared" si="2"/>
        <v>0.35555555555555562</v>
      </c>
      <c r="H44" s="57">
        <f t="shared" si="3"/>
        <v>28.8</v>
      </c>
      <c r="I44" s="57">
        <v>91</v>
      </c>
      <c r="J44" s="57">
        <f t="shared" si="4"/>
        <v>0.31648351648351647</v>
      </c>
      <c r="K44" s="56">
        <v>10</v>
      </c>
      <c r="L44" s="56">
        <v>0</v>
      </c>
      <c r="M44" s="58">
        <f t="shared" si="0"/>
        <v>10</v>
      </c>
      <c r="N44" s="59">
        <f t="shared" si="5"/>
        <v>7.9217777777777793E-3</v>
      </c>
      <c r="O44" s="56">
        <f t="shared" si="6"/>
        <v>7.9217777777777798E-4</v>
      </c>
      <c r="P44" s="56">
        <f t="shared" si="7"/>
        <v>3.1687111111111117E-2</v>
      </c>
      <c r="Q44" s="56">
        <f t="shared" si="8"/>
        <v>3.1687111111111117E-2</v>
      </c>
      <c r="R44" s="56">
        <f t="shared" si="9"/>
        <v>6.4166400000000012E-2</v>
      </c>
      <c r="S44" s="59">
        <v>2.5</v>
      </c>
      <c r="T44" s="59">
        <f t="shared" si="10"/>
        <v>2.1693000705360017</v>
      </c>
      <c r="U44" s="56">
        <v>9</v>
      </c>
      <c r="V44" s="59">
        <f t="shared" si="19"/>
        <v>0</v>
      </c>
      <c r="W44" s="59">
        <f t="shared" si="11"/>
        <v>1.75</v>
      </c>
      <c r="X44" s="60">
        <f t="shared" si="12"/>
        <v>4.433286745054563E-3</v>
      </c>
      <c r="Y44" s="60">
        <f t="shared" si="13"/>
        <v>1.1044687500000001</v>
      </c>
      <c r="Z44" s="60">
        <f t="shared" si="14"/>
        <v>5.8097071555895094E-2</v>
      </c>
      <c r="AA44" s="61">
        <f>VLOOKUP(Z44,Table2[#All],2,TRUE)</f>
        <v>7.4999999999999997E-2</v>
      </c>
      <c r="AB44" s="61">
        <f t="shared" si="15"/>
        <v>5.6249999999999994E-2</v>
      </c>
      <c r="AC44" s="61">
        <f>VLOOKUP(AA44,Table2[#All],3,TRUE)</f>
        <v>0.25</v>
      </c>
      <c r="AD44" s="61">
        <f t="shared" si="16"/>
        <v>0.625</v>
      </c>
      <c r="AE44" s="60">
        <f t="shared" si="17"/>
        <v>1.937346307588844</v>
      </c>
      <c r="AF44" s="60">
        <v>100</v>
      </c>
      <c r="AG44" s="60">
        <v>100</v>
      </c>
      <c r="AH44" s="55">
        <f>AF44-3-(U44/12)-(W44/12)</f>
        <v>96.104166666666671</v>
      </c>
      <c r="AI44" s="61">
        <f t="shared" si="18"/>
        <v>94.166820359077832</v>
      </c>
      <c r="AJ44" s="16" t="s">
        <v>98</v>
      </c>
    </row>
    <row r="45" spans="1:36" s="55" customFormat="1" x14ac:dyDescent="0.35">
      <c r="A45" s="55">
        <v>37</v>
      </c>
      <c r="B45" s="56" t="s">
        <v>57</v>
      </c>
      <c r="C45" s="56">
        <v>47</v>
      </c>
      <c r="D45" s="56">
        <v>48</v>
      </c>
      <c r="E45" s="56">
        <v>155</v>
      </c>
      <c r="F45" s="57">
        <f t="shared" si="1"/>
        <v>4.2666666666666666</v>
      </c>
      <c r="G45" s="57">
        <f t="shared" si="2"/>
        <v>0.42666666666666669</v>
      </c>
      <c r="H45" s="57">
        <f t="shared" si="3"/>
        <v>34.56</v>
      </c>
      <c r="I45" s="57">
        <v>341</v>
      </c>
      <c r="J45" s="57">
        <f t="shared" si="4"/>
        <v>0.10134897360703812</v>
      </c>
      <c r="K45" s="56">
        <v>12</v>
      </c>
      <c r="L45" s="56">
        <v>10</v>
      </c>
      <c r="M45" s="58">
        <f t="shared" si="0"/>
        <v>22</v>
      </c>
      <c r="N45" s="59">
        <f t="shared" si="5"/>
        <v>1.7427911111111111E-2</v>
      </c>
      <c r="O45" s="56">
        <f t="shared" si="6"/>
        <v>1.7427911111111112E-3</v>
      </c>
      <c r="P45" s="56">
        <f t="shared" si="7"/>
        <v>6.9711644444444443E-2</v>
      </c>
      <c r="Q45" s="56">
        <f t="shared" si="8"/>
        <v>6.9711644444444443E-2</v>
      </c>
      <c r="R45" s="56">
        <f t="shared" si="9"/>
        <v>0.14116608</v>
      </c>
      <c r="S45" s="59">
        <v>2.5</v>
      </c>
      <c r="T45" s="59">
        <f t="shared" si="10"/>
        <v>3.2175919802331219</v>
      </c>
      <c r="U45" s="56">
        <v>9</v>
      </c>
      <c r="V45" s="59">
        <f t="shared" si="19"/>
        <v>0</v>
      </c>
      <c r="W45" s="59">
        <f t="shared" si="11"/>
        <v>1.75</v>
      </c>
      <c r="X45" s="60">
        <f t="shared" si="12"/>
        <v>4.433286745054563E-3</v>
      </c>
      <c r="Y45" s="60">
        <f t="shared" si="13"/>
        <v>1.1044687500000001</v>
      </c>
      <c r="Z45" s="60">
        <f t="shared" si="14"/>
        <v>0.12781355742296918</v>
      </c>
      <c r="AA45" s="61">
        <f>VLOOKUP(Z45,Table2[#All],2,TRUE)</f>
        <v>0.25</v>
      </c>
      <c r="AB45" s="61">
        <f t="shared" si="15"/>
        <v>0.1875</v>
      </c>
      <c r="AC45" s="61">
        <f>VLOOKUP(AA45,Table2[#All],3,TRUE)</f>
        <v>0.7</v>
      </c>
      <c r="AD45" s="61">
        <f t="shared" si="16"/>
        <v>1.75</v>
      </c>
      <c r="AE45" s="60">
        <f t="shared" si="17"/>
        <v>0.68715944548345731</v>
      </c>
      <c r="AF45" s="60">
        <v>100</v>
      </c>
      <c r="AG45" s="60">
        <v>100</v>
      </c>
      <c r="AH45" s="55">
        <f>AI44-V45</f>
        <v>94.166820359077832</v>
      </c>
      <c r="AI45" s="61">
        <f t="shared" si="18"/>
        <v>93.479660913594373</v>
      </c>
      <c r="AJ45" s="16" t="s">
        <v>103</v>
      </c>
    </row>
    <row r="46" spans="1:36" s="16" customFormat="1" x14ac:dyDescent="0.35">
      <c r="A46" s="16">
        <v>38</v>
      </c>
      <c r="B46" s="26" t="s">
        <v>58</v>
      </c>
      <c r="C46" s="18">
        <v>17</v>
      </c>
      <c r="D46" s="18">
        <v>18</v>
      </c>
      <c r="E46" s="18">
        <v>401</v>
      </c>
      <c r="F46" s="18">
        <f t="shared" si="1"/>
        <v>2.1333333333333333</v>
      </c>
      <c r="G46" s="18">
        <f t="shared" si="2"/>
        <v>0.21333333333333335</v>
      </c>
      <c r="H46" s="18">
        <f t="shared" si="3"/>
        <v>17.28</v>
      </c>
      <c r="I46" s="18">
        <v>49</v>
      </c>
      <c r="J46" s="18">
        <f t="shared" si="4"/>
        <v>0.35265306122448981</v>
      </c>
      <c r="K46" s="18">
        <v>6</v>
      </c>
      <c r="L46" s="18">
        <v>0</v>
      </c>
      <c r="M46" s="19">
        <f t="shared" si="0"/>
        <v>6</v>
      </c>
      <c r="N46" s="18">
        <f t="shared" si="5"/>
        <v>4.7530666666666666E-3</v>
      </c>
      <c r="O46" s="18">
        <f t="shared" si="6"/>
        <v>4.7530666666666669E-4</v>
      </c>
      <c r="P46" s="18">
        <f t="shared" si="7"/>
        <v>1.9012266666666666E-2</v>
      </c>
      <c r="Q46" s="18">
        <f t="shared" si="8"/>
        <v>1.9012266666666666E-2</v>
      </c>
      <c r="R46" s="18">
        <f t="shared" si="9"/>
        <v>3.849984E-2</v>
      </c>
      <c r="S46" s="18">
        <v>2.5</v>
      </c>
      <c r="T46" s="18">
        <f t="shared" si="10"/>
        <v>1.6803326092225022</v>
      </c>
      <c r="U46" s="18">
        <v>9</v>
      </c>
      <c r="V46" s="18">
        <f t="shared" si="19"/>
        <v>0</v>
      </c>
      <c r="W46" s="18">
        <f t="shared" si="11"/>
        <v>1.75</v>
      </c>
      <c r="X46" s="16">
        <f t="shared" si="12"/>
        <v>4.433286745054563E-3</v>
      </c>
      <c r="Y46" s="16">
        <f t="shared" si="13"/>
        <v>1.1044687500000001</v>
      </c>
      <c r="Z46" s="16">
        <f t="shared" si="14"/>
        <v>3.4858242933537051E-2</v>
      </c>
      <c r="AA46" s="16">
        <f>VLOOKUP(Z46,Table2[#All],2,TRUE)</f>
        <v>0.05</v>
      </c>
      <c r="AB46" s="16">
        <f t="shared" si="15"/>
        <v>3.7500000000000006E-2</v>
      </c>
      <c r="AC46" s="16">
        <f>VLOOKUP(AA46,Table2[#All],3,TRUE)</f>
        <v>0.25</v>
      </c>
      <c r="AD46" s="16">
        <f t="shared" si="16"/>
        <v>0.625</v>
      </c>
      <c r="AE46" s="16">
        <f t="shared" si="17"/>
        <v>1.7777479847668798</v>
      </c>
      <c r="AF46" s="16">
        <v>100</v>
      </c>
      <c r="AG46" s="16">
        <v>100</v>
      </c>
      <c r="AH46" s="16">
        <f>AF46-3-(U46/12)-(W46/12)</f>
        <v>96.104166666666671</v>
      </c>
      <c r="AI46" s="16">
        <f t="shared" si="18"/>
        <v>94.326418681899796</v>
      </c>
      <c r="AJ46" s="16" t="s">
        <v>98</v>
      </c>
    </row>
    <row r="47" spans="1:36" s="16" customFormat="1" x14ac:dyDescent="0.35">
      <c r="A47" s="16">
        <v>39</v>
      </c>
      <c r="B47" s="26" t="s">
        <v>59</v>
      </c>
      <c r="C47" s="18">
        <v>18</v>
      </c>
      <c r="D47" s="18">
        <v>19</v>
      </c>
      <c r="E47" s="18">
        <v>202</v>
      </c>
      <c r="F47" s="18">
        <f t="shared" si="1"/>
        <v>6.7555555555555564</v>
      </c>
      <c r="G47" s="18">
        <f t="shared" si="2"/>
        <v>0.67555555555555569</v>
      </c>
      <c r="H47" s="18">
        <f t="shared" si="3"/>
        <v>54.720000000000006</v>
      </c>
      <c r="I47" s="18">
        <v>168</v>
      </c>
      <c r="J47" s="18">
        <f t="shared" si="4"/>
        <v>0.32571428571428573</v>
      </c>
      <c r="K47" s="18">
        <v>19</v>
      </c>
      <c r="L47" s="18">
        <v>6</v>
      </c>
      <c r="M47" s="19">
        <f t="shared" si="0"/>
        <v>25</v>
      </c>
      <c r="N47" s="18">
        <f t="shared" si="5"/>
        <v>1.9804444444444444E-2</v>
      </c>
      <c r="O47" s="18">
        <f t="shared" si="6"/>
        <v>1.9804444444444444E-3</v>
      </c>
      <c r="P47" s="18">
        <f t="shared" si="7"/>
        <v>7.9217777777777776E-2</v>
      </c>
      <c r="Q47" s="18">
        <f t="shared" si="8"/>
        <v>7.9217777777777776E-2</v>
      </c>
      <c r="R47" s="18">
        <f t="shared" si="9"/>
        <v>0.160416</v>
      </c>
      <c r="S47" s="18">
        <v>2.5</v>
      </c>
      <c r="T47" s="18">
        <f t="shared" si="10"/>
        <v>3.4299645756288433</v>
      </c>
      <c r="U47" s="18">
        <v>9</v>
      </c>
      <c r="V47" s="18">
        <f t="shared" si="19"/>
        <v>0</v>
      </c>
      <c r="W47" s="18">
        <f t="shared" si="11"/>
        <v>1.75</v>
      </c>
      <c r="X47" s="16">
        <f t="shared" si="12"/>
        <v>4.433286745054563E-3</v>
      </c>
      <c r="Y47" s="16">
        <f t="shared" si="13"/>
        <v>1.1044687500000001</v>
      </c>
      <c r="Z47" s="16">
        <f t="shared" si="14"/>
        <v>0.14524267888973771</v>
      </c>
      <c r="AA47" s="16">
        <f>VLOOKUP(Z47,Table2[#All],2,TRUE)</f>
        <v>0.25</v>
      </c>
      <c r="AB47" s="16">
        <f t="shared" si="15"/>
        <v>0.1875</v>
      </c>
      <c r="AC47" s="16">
        <f>VLOOKUP(AA47,Table2[#All],3,TRUE)</f>
        <v>0.7</v>
      </c>
      <c r="AD47" s="16">
        <f t="shared" si="16"/>
        <v>1.75</v>
      </c>
      <c r="AE47" s="16">
        <f t="shared" si="17"/>
        <v>0.89552392250102175</v>
      </c>
      <c r="AF47" s="16">
        <v>100</v>
      </c>
      <c r="AG47" s="16">
        <v>100</v>
      </c>
      <c r="AH47" s="16">
        <f>AI46-V47</f>
        <v>94.326418681899796</v>
      </c>
      <c r="AI47" s="16">
        <f t="shared" si="18"/>
        <v>93.430894759398768</v>
      </c>
      <c r="AJ47" s="16" t="s">
        <v>103</v>
      </c>
    </row>
    <row r="48" spans="1:36" s="62" customFormat="1" x14ac:dyDescent="0.35">
      <c r="A48" s="62">
        <v>40</v>
      </c>
      <c r="B48" s="63" t="s">
        <v>60</v>
      </c>
      <c r="C48" s="64">
        <v>6</v>
      </c>
      <c r="D48" s="64">
        <v>7</v>
      </c>
      <c r="E48" s="64">
        <v>127</v>
      </c>
      <c r="F48" s="64">
        <f t="shared" si="1"/>
        <v>2.4888888888888889</v>
      </c>
      <c r="G48" s="64">
        <f t="shared" si="2"/>
        <v>0.24888888888888891</v>
      </c>
      <c r="H48" s="64">
        <f t="shared" si="3"/>
        <v>20.16</v>
      </c>
      <c r="I48" s="64">
        <v>63</v>
      </c>
      <c r="J48" s="64">
        <f t="shared" si="4"/>
        <v>0.32</v>
      </c>
      <c r="K48" s="64">
        <v>7</v>
      </c>
      <c r="L48" s="64">
        <v>0</v>
      </c>
      <c r="M48" s="65">
        <f t="shared" si="0"/>
        <v>7</v>
      </c>
      <c r="N48" s="64">
        <f t="shared" si="5"/>
        <v>5.5452444444444443E-3</v>
      </c>
      <c r="O48" s="64">
        <f t="shared" si="6"/>
        <v>5.545244444444445E-4</v>
      </c>
      <c r="P48" s="64">
        <f t="shared" si="7"/>
        <v>2.2180977777777777E-2</v>
      </c>
      <c r="Q48" s="64">
        <f t="shared" si="8"/>
        <v>2.2180977777777777E-2</v>
      </c>
      <c r="R48" s="64">
        <f t="shared" si="9"/>
        <v>4.4916480000000002E-2</v>
      </c>
      <c r="S48" s="64">
        <v>2.5</v>
      </c>
      <c r="T48" s="64">
        <f t="shared" si="10"/>
        <v>1.8149666545750232</v>
      </c>
      <c r="U48" s="64">
        <v>9</v>
      </c>
      <c r="V48" s="64">
        <f t="shared" si="19"/>
        <v>0</v>
      </c>
      <c r="W48" s="64">
        <f t="shared" si="11"/>
        <v>1.75</v>
      </c>
      <c r="X48" s="62">
        <f t="shared" si="12"/>
        <v>4.433286745054563E-3</v>
      </c>
      <c r="Y48" s="62">
        <f t="shared" si="13"/>
        <v>1.1044687500000001</v>
      </c>
      <c r="Z48" s="62">
        <f t="shared" si="14"/>
        <v>4.0667950089126555E-2</v>
      </c>
      <c r="AA48" s="62">
        <f>VLOOKUP(Z48,Table2[#All],2,TRUE)</f>
        <v>0.05</v>
      </c>
      <c r="AB48" s="62">
        <f t="shared" si="15"/>
        <v>3.7500000000000006E-2</v>
      </c>
      <c r="AC48" s="62">
        <f>VLOOKUP(AA48,Table2[#All],3,TRUE)</f>
        <v>0.25</v>
      </c>
      <c r="AD48" s="62">
        <f t="shared" si="16"/>
        <v>0.625</v>
      </c>
      <c r="AE48" s="62">
        <f t="shared" si="17"/>
        <v>0.56302741662192946</v>
      </c>
      <c r="AF48" s="62">
        <v>100</v>
      </c>
      <c r="AG48" s="62">
        <v>100</v>
      </c>
      <c r="AH48" s="62">
        <f>AF48-3-(U48/12)-(W48/12)</f>
        <v>96.104166666666671</v>
      </c>
      <c r="AI48" s="62">
        <f t="shared" si="18"/>
        <v>95.541139250044736</v>
      </c>
      <c r="AJ48" s="16" t="s">
        <v>98</v>
      </c>
    </row>
    <row r="49" spans="1:36" s="62" customFormat="1" x14ac:dyDescent="0.35">
      <c r="A49" s="62">
        <v>41</v>
      </c>
      <c r="B49" s="63" t="s">
        <v>61</v>
      </c>
      <c r="C49" s="64">
        <v>7</v>
      </c>
      <c r="D49" s="64">
        <v>8</v>
      </c>
      <c r="E49" s="64">
        <v>263</v>
      </c>
      <c r="F49" s="64">
        <f t="shared" si="1"/>
        <v>2.4888888888888889</v>
      </c>
      <c r="G49" s="64">
        <f t="shared" si="2"/>
        <v>0.24888888888888891</v>
      </c>
      <c r="H49" s="64">
        <f t="shared" si="3"/>
        <v>20.16</v>
      </c>
      <c r="I49" s="64">
        <v>63</v>
      </c>
      <c r="J49" s="64">
        <f t="shared" si="4"/>
        <v>0.32</v>
      </c>
      <c r="K49" s="64">
        <v>7</v>
      </c>
      <c r="L49" s="64">
        <v>7</v>
      </c>
      <c r="M49" s="65">
        <f t="shared" si="0"/>
        <v>14</v>
      </c>
      <c r="N49" s="64">
        <f t="shared" si="5"/>
        <v>1.1090488888888889E-2</v>
      </c>
      <c r="O49" s="64">
        <f t="shared" si="6"/>
        <v>1.109048888888889E-3</v>
      </c>
      <c r="P49" s="64">
        <f t="shared" si="7"/>
        <v>4.4361955555555554E-2</v>
      </c>
      <c r="Q49" s="64">
        <f t="shared" si="8"/>
        <v>4.4361955555555554E-2</v>
      </c>
      <c r="R49" s="64">
        <f t="shared" si="9"/>
        <v>8.9832960000000003E-2</v>
      </c>
      <c r="S49" s="64">
        <v>2.5</v>
      </c>
      <c r="T49" s="64">
        <f t="shared" si="10"/>
        <v>2.5667504581549219</v>
      </c>
      <c r="U49" s="64">
        <v>9</v>
      </c>
      <c r="V49" s="64">
        <f t="shared" si="19"/>
        <v>0</v>
      </c>
      <c r="W49" s="64">
        <f t="shared" si="11"/>
        <v>1.75</v>
      </c>
      <c r="X49" s="62">
        <f t="shared" si="12"/>
        <v>4.433286745054563E-3</v>
      </c>
      <c r="Y49" s="62">
        <f t="shared" si="13"/>
        <v>1.1044687500000001</v>
      </c>
      <c r="Z49" s="62">
        <f t="shared" si="14"/>
        <v>8.1335900178253109E-2</v>
      </c>
      <c r="AA49" s="62">
        <f>VLOOKUP(Z49,Table2[#All],2,TRUE)</f>
        <v>7.4999999999999997E-2</v>
      </c>
      <c r="AB49" s="62">
        <f t="shared" si="15"/>
        <v>5.6249999999999994E-2</v>
      </c>
      <c r="AC49" s="62">
        <f>VLOOKUP(AA49,Table2[#All],3,TRUE)</f>
        <v>0.25</v>
      </c>
      <c r="AD49" s="62">
        <f t="shared" si="16"/>
        <v>0.625</v>
      </c>
      <c r="AE49" s="62">
        <f t="shared" si="17"/>
        <v>1.1659544139493501</v>
      </c>
      <c r="AF49" s="62">
        <v>100</v>
      </c>
      <c r="AG49" s="62">
        <v>100</v>
      </c>
      <c r="AH49" s="62">
        <f>AI48-V49</f>
        <v>95.541139250044736</v>
      </c>
      <c r="AI49" s="62">
        <f t="shared" si="18"/>
        <v>94.375184836095386</v>
      </c>
      <c r="AJ49" s="16" t="s">
        <v>98</v>
      </c>
    </row>
    <row r="50" spans="1:36" s="16" customFormat="1" x14ac:dyDescent="0.35">
      <c r="A50" s="16">
        <v>42</v>
      </c>
      <c r="B50" s="26" t="s">
        <v>62</v>
      </c>
      <c r="C50" s="18">
        <v>10</v>
      </c>
      <c r="D50" s="18">
        <v>11</v>
      </c>
      <c r="E50" s="18">
        <v>183</v>
      </c>
      <c r="F50" s="18">
        <f t="shared" si="1"/>
        <v>2.1333333333333333</v>
      </c>
      <c r="G50" s="18">
        <f t="shared" si="2"/>
        <v>0.21333333333333335</v>
      </c>
      <c r="H50" s="18">
        <f t="shared" si="3"/>
        <v>17.28</v>
      </c>
      <c r="I50" s="18">
        <v>56</v>
      </c>
      <c r="J50" s="18">
        <f t="shared" si="4"/>
        <v>0.30857142857142861</v>
      </c>
      <c r="K50" s="18">
        <v>6</v>
      </c>
      <c r="L50" s="18">
        <v>0</v>
      </c>
      <c r="M50" s="19">
        <f t="shared" si="0"/>
        <v>6</v>
      </c>
      <c r="N50" s="18">
        <f t="shared" si="5"/>
        <v>4.7530666666666666E-3</v>
      </c>
      <c r="O50" s="18">
        <f t="shared" si="6"/>
        <v>4.7530666666666669E-4</v>
      </c>
      <c r="P50" s="18">
        <f t="shared" si="7"/>
        <v>1.9012266666666666E-2</v>
      </c>
      <c r="Q50" s="18">
        <f t="shared" si="8"/>
        <v>1.9012266666666666E-2</v>
      </c>
      <c r="R50" s="18">
        <f t="shared" si="9"/>
        <v>3.849984E-2</v>
      </c>
      <c r="S50" s="18">
        <v>2.5</v>
      </c>
      <c r="T50" s="18">
        <f t="shared" si="10"/>
        <v>1.6803326092225022</v>
      </c>
      <c r="U50" s="18">
        <v>9</v>
      </c>
      <c r="V50" s="18">
        <f t="shared" si="19"/>
        <v>0</v>
      </c>
      <c r="W50" s="18">
        <f t="shared" si="11"/>
        <v>1.75</v>
      </c>
      <c r="X50" s="16">
        <f t="shared" si="12"/>
        <v>4.433286745054563E-3</v>
      </c>
      <c r="Y50" s="16">
        <f t="shared" si="13"/>
        <v>1.1044687500000001</v>
      </c>
      <c r="Z50" s="16">
        <f t="shared" si="14"/>
        <v>3.4858242933537051E-2</v>
      </c>
      <c r="AA50" s="16">
        <f>VLOOKUP(Z50,Table2[#All],2,TRUE)</f>
        <v>0.05</v>
      </c>
      <c r="AB50" s="16">
        <f t="shared" si="15"/>
        <v>3.7500000000000006E-2</v>
      </c>
      <c r="AC50" s="16">
        <f>VLOOKUP(AA50,Table2[#All],3,TRUE)</f>
        <v>0.25</v>
      </c>
      <c r="AD50" s="16">
        <f t="shared" si="16"/>
        <v>0.625</v>
      </c>
      <c r="AE50" s="16">
        <f t="shared" si="17"/>
        <v>0.81129147434498505</v>
      </c>
      <c r="AF50" s="16">
        <v>100</v>
      </c>
      <c r="AG50" s="16">
        <v>100</v>
      </c>
      <c r="AH50" s="16">
        <f>AF50-3-(U50/12)-(W50/12)</f>
        <v>96.104166666666671</v>
      </c>
      <c r="AI50" s="16">
        <f t="shared" si="18"/>
        <v>95.292875192321688</v>
      </c>
      <c r="AJ50" s="16" t="s">
        <v>98</v>
      </c>
    </row>
    <row r="51" spans="1:36" s="16" customFormat="1" x14ac:dyDescent="0.35">
      <c r="A51" s="16">
        <v>43</v>
      </c>
      <c r="B51" s="26" t="s">
        <v>63</v>
      </c>
      <c r="C51" s="18">
        <v>11</v>
      </c>
      <c r="D51" s="18">
        <v>12</v>
      </c>
      <c r="E51" s="18">
        <v>34</v>
      </c>
      <c r="F51" s="18">
        <f t="shared" si="1"/>
        <v>2.1333333333333333</v>
      </c>
      <c r="G51" s="18">
        <f t="shared" si="2"/>
        <v>0.21333333333333335</v>
      </c>
      <c r="H51" s="18">
        <f t="shared" si="3"/>
        <v>17.28</v>
      </c>
      <c r="I51" s="18">
        <v>56</v>
      </c>
      <c r="J51" s="18">
        <f t="shared" si="4"/>
        <v>0.30857142857142861</v>
      </c>
      <c r="K51" s="18">
        <v>6</v>
      </c>
      <c r="L51" s="18">
        <v>6</v>
      </c>
      <c r="M51" s="19">
        <f t="shared" si="0"/>
        <v>12</v>
      </c>
      <c r="N51" s="18">
        <f t="shared" si="5"/>
        <v>9.5061333333333331E-3</v>
      </c>
      <c r="O51" s="18">
        <f t="shared" si="6"/>
        <v>9.5061333333333338E-4</v>
      </c>
      <c r="P51" s="18">
        <f t="shared" si="7"/>
        <v>3.8024533333333332E-2</v>
      </c>
      <c r="Q51" s="18">
        <f t="shared" si="8"/>
        <v>3.8024533333333332E-2</v>
      </c>
      <c r="R51" s="18">
        <f t="shared" si="9"/>
        <v>7.6999680000000001E-2</v>
      </c>
      <c r="S51" s="18">
        <v>2.5</v>
      </c>
      <c r="T51" s="18">
        <f t="shared" si="10"/>
        <v>2.376349165260232</v>
      </c>
      <c r="U51" s="18">
        <v>9</v>
      </c>
      <c r="V51" s="18">
        <f t="shared" si="19"/>
        <v>0</v>
      </c>
      <c r="W51" s="18">
        <f t="shared" si="11"/>
        <v>1.75</v>
      </c>
      <c r="X51" s="16">
        <f t="shared" si="12"/>
        <v>4.433286745054563E-3</v>
      </c>
      <c r="Y51" s="16">
        <f t="shared" si="13"/>
        <v>1.1044687500000001</v>
      </c>
      <c r="Z51" s="16">
        <f t="shared" si="14"/>
        <v>6.9716485867074102E-2</v>
      </c>
      <c r="AA51" s="16">
        <f>VLOOKUP(Z51,Table2[#All],2,TRUE)</f>
        <v>7.4999999999999997E-2</v>
      </c>
      <c r="AB51" s="16">
        <f t="shared" si="15"/>
        <v>5.6249999999999994E-2</v>
      </c>
      <c r="AC51" s="16">
        <f>VLOOKUP(AA51,Table2[#All],3,TRUE)</f>
        <v>0.25</v>
      </c>
      <c r="AD51" s="16">
        <f t="shared" si="16"/>
        <v>0.625</v>
      </c>
      <c r="AE51" s="16">
        <f t="shared" si="17"/>
        <v>0.15073174933185515</v>
      </c>
      <c r="AF51" s="16">
        <v>100</v>
      </c>
      <c r="AG51" s="16">
        <v>100</v>
      </c>
      <c r="AH51" s="16">
        <f>AI50-V51</f>
        <v>95.292875192321688</v>
      </c>
      <c r="AI51" s="16">
        <f t="shared" si="18"/>
        <v>95.142143442989834</v>
      </c>
      <c r="AJ51" s="16" t="s">
        <v>98</v>
      </c>
    </row>
    <row r="52" spans="1:36" x14ac:dyDescent="0.35">
      <c r="A52" s="15" t="s">
        <v>89</v>
      </c>
      <c r="B52" s="8"/>
      <c r="C52" s="2"/>
      <c r="D52" s="2"/>
      <c r="E52" s="1"/>
      <c r="F52" s="18">
        <f t="shared" si="1"/>
        <v>0</v>
      </c>
      <c r="G52" s="18">
        <f t="shared" si="2"/>
        <v>0</v>
      </c>
      <c r="H52" s="18">
        <f t="shared" si="3"/>
        <v>0</v>
      </c>
      <c r="I52" s="18"/>
      <c r="J52" s="18" t="e">
        <f t="shared" si="4"/>
        <v>#DIV/0!</v>
      </c>
      <c r="K52" s="1"/>
      <c r="L52" s="1"/>
      <c r="M52" s="3"/>
      <c r="N52" s="1"/>
      <c r="O52" s="1"/>
      <c r="P52" s="1"/>
      <c r="Q52" s="1"/>
      <c r="R52" s="1"/>
      <c r="S52" s="1"/>
      <c r="T52" s="1"/>
      <c r="U52" s="1"/>
      <c r="V52" s="1"/>
      <c r="AA52" s="16"/>
      <c r="AB52" s="16"/>
      <c r="AC52" s="16"/>
      <c r="AD52" s="16"/>
      <c r="AI52" s="16"/>
      <c r="AJ52" s="16"/>
    </row>
    <row r="53" spans="1:36" x14ac:dyDescent="0.35">
      <c r="A53">
        <v>44</v>
      </c>
      <c r="B53" s="7" t="s">
        <v>64</v>
      </c>
      <c r="C53" s="2">
        <v>2</v>
      </c>
      <c r="D53" s="2">
        <v>3</v>
      </c>
      <c r="E53" s="1">
        <v>286</v>
      </c>
      <c r="F53" s="18">
        <f t="shared" si="1"/>
        <v>2.1333333333333333</v>
      </c>
      <c r="G53" s="18">
        <f t="shared" si="2"/>
        <v>0.21333333333333335</v>
      </c>
      <c r="H53" s="18">
        <f t="shared" si="3"/>
        <v>17.28</v>
      </c>
      <c r="I53" s="18">
        <v>49</v>
      </c>
      <c r="J53" s="18">
        <f t="shared" si="4"/>
        <v>0.35265306122448981</v>
      </c>
      <c r="K53" s="1">
        <v>6</v>
      </c>
      <c r="L53" s="1">
        <v>0</v>
      </c>
      <c r="M53" s="3">
        <f>K53</f>
        <v>6</v>
      </c>
      <c r="N53" s="1">
        <f t="shared" si="5"/>
        <v>4.7530666666666666E-3</v>
      </c>
      <c r="O53" s="1">
        <f t="shared" si="6"/>
        <v>4.7530666666666669E-4</v>
      </c>
      <c r="P53" s="1">
        <f t="shared" si="7"/>
        <v>1.9012266666666666E-2</v>
      </c>
      <c r="Q53" s="1">
        <f t="shared" si="8"/>
        <v>1.9012266666666666E-2</v>
      </c>
      <c r="R53" s="1">
        <f t="shared" si="9"/>
        <v>3.849984E-2</v>
      </c>
      <c r="S53" s="1">
        <v>2.5</v>
      </c>
      <c r="T53" s="1">
        <f t="shared" si="10"/>
        <v>1.6803326092225022</v>
      </c>
      <c r="U53" s="1">
        <v>9</v>
      </c>
      <c r="V53" s="1">
        <v>0</v>
      </c>
      <c r="W53" s="1">
        <f t="shared" si="11"/>
        <v>1.75</v>
      </c>
      <c r="X53">
        <f t="shared" si="12"/>
        <v>4.433286745054563E-3</v>
      </c>
      <c r="Y53">
        <f t="shared" si="13"/>
        <v>1.1044687500000001</v>
      </c>
      <c r="Z53">
        <f t="shared" si="14"/>
        <v>3.4858242933537051E-2</v>
      </c>
      <c r="AA53" s="16">
        <f>VLOOKUP(Z53,Table2[#All],2,TRUE)</f>
        <v>0.05</v>
      </c>
      <c r="AB53" s="16">
        <f t="shared" si="15"/>
        <v>3.7500000000000006E-2</v>
      </c>
      <c r="AC53" s="16">
        <f>VLOOKUP(AA53,Table2[#All],3,TRUE)</f>
        <v>0.25</v>
      </c>
      <c r="AD53" s="16">
        <f t="shared" si="16"/>
        <v>0.625</v>
      </c>
      <c r="AE53">
        <f t="shared" si="17"/>
        <v>1.2679200090856051</v>
      </c>
      <c r="AF53">
        <v>100</v>
      </c>
      <c r="AG53">
        <v>100</v>
      </c>
      <c r="AH53">
        <f t="shared" ref="AH53:AH60" si="25">AF53-3-(U53/12)-(W53/12)</f>
        <v>96.104166666666671</v>
      </c>
      <c r="AI53" s="16">
        <f t="shared" si="18"/>
        <v>94.836246657581071</v>
      </c>
      <c r="AJ53" s="16" t="s">
        <v>105</v>
      </c>
    </row>
    <row r="54" spans="1:36" x14ac:dyDescent="0.35">
      <c r="A54">
        <v>45</v>
      </c>
      <c r="B54" s="7" t="s">
        <v>65</v>
      </c>
      <c r="C54" s="2">
        <v>4</v>
      </c>
      <c r="D54" s="2">
        <v>5</v>
      </c>
      <c r="E54" s="1">
        <v>144</v>
      </c>
      <c r="F54" s="18">
        <f t="shared" si="1"/>
        <v>0.71111111111111114</v>
      </c>
      <c r="G54" s="18">
        <f t="shared" si="2"/>
        <v>7.1111111111111111E-2</v>
      </c>
      <c r="H54" s="18">
        <f t="shared" si="3"/>
        <v>5.76</v>
      </c>
      <c r="I54" s="18">
        <v>21</v>
      </c>
      <c r="J54" s="18">
        <f t="shared" si="4"/>
        <v>0.2742857142857143</v>
      </c>
      <c r="K54" s="1">
        <v>2</v>
      </c>
      <c r="L54" s="1">
        <v>0</v>
      </c>
      <c r="M54" s="3">
        <f t="shared" ref="M54:M60" si="26">K54</f>
        <v>2</v>
      </c>
      <c r="N54" s="1">
        <f t="shared" si="5"/>
        <v>1.5843555555555555E-3</v>
      </c>
      <c r="O54" s="1">
        <f t="shared" si="6"/>
        <v>1.5843555555555556E-4</v>
      </c>
      <c r="P54" s="1">
        <f t="shared" si="7"/>
        <v>6.3374222222222221E-3</v>
      </c>
      <c r="Q54" s="1">
        <f t="shared" si="8"/>
        <v>6.3374222222222221E-3</v>
      </c>
      <c r="R54" s="1">
        <f t="shared" si="9"/>
        <v>1.2833279999999999E-2</v>
      </c>
      <c r="S54" s="1">
        <v>2.5</v>
      </c>
      <c r="T54" s="1">
        <f t="shared" si="10"/>
        <v>0.9701404842627176</v>
      </c>
      <c r="U54" s="1">
        <v>9</v>
      </c>
      <c r="V54" s="1">
        <f t="shared" si="19"/>
        <v>0</v>
      </c>
      <c r="W54" s="1">
        <f t="shared" si="11"/>
        <v>1.75</v>
      </c>
      <c r="X54">
        <f t="shared" si="12"/>
        <v>4.433286745054563E-3</v>
      </c>
      <c r="Y54">
        <f t="shared" si="13"/>
        <v>1.1044687500000001</v>
      </c>
      <c r="Z54">
        <f t="shared" si="14"/>
        <v>1.1619414311179015E-2</v>
      </c>
      <c r="AA54" s="16">
        <f>VLOOKUP(Z54,Table2[#All],2,TRUE)</f>
        <v>0.05</v>
      </c>
      <c r="AB54" s="16">
        <f t="shared" si="15"/>
        <v>3.7500000000000006E-2</v>
      </c>
      <c r="AC54" s="16">
        <f>VLOOKUP(AA54,Table2[#All],3,TRUE)</f>
        <v>0.25</v>
      </c>
      <c r="AD54" s="16">
        <f t="shared" si="16"/>
        <v>0.625</v>
      </c>
      <c r="AE54">
        <f t="shared" si="17"/>
        <v>0.63839329128785705</v>
      </c>
      <c r="AF54">
        <v>100</v>
      </c>
      <c r="AG54">
        <v>100</v>
      </c>
      <c r="AH54">
        <f t="shared" si="25"/>
        <v>96.104166666666671</v>
      </c>
      <c r="AI54" s="16">
        <f t="shared" si="18"/>
        <v>95.465773375378816</v>
      </c>
      <c r="AJ54" s="16" t="s">
        <v>105</v>
      </c>
    </row>
    <row r="55" spans="1:36" x14ac:dyDescent="0.35">
      <c r="A55">
        <v>46</v>
      </c>
      <c r="B55" s="7" t="s">
        <v>12</v>
      </c>
      <c r="C55" s="2">
        <v>37</v>
      </c>
      <c r="D55" s="2">
        <v>38</v>
      </c>
      <c r="E55" s="1">
        <v>549</v>
      </c>
      <c r="F55" s="18">
        <f t="shared" si="1"/>
        <v>3.2</v>
      </c>
      <c r="G55" s="18">
        <f t="shared" si="2"/>
        <v>0.32000000000000006</v>
      </c>
      <c r="H55" s="18">
        <f t="shared" si="3"/>
        <v>25.92</v>
      </c>
      <c r="I55" s="18">
        <v>77</v>
      </c>
      <c r="J55" s="18">
        <f t="shared" si="4"/>
        <v>0.33662337662337666</v>
      </c>
      <c r="K55" s="1">
        <v>9</v>
      </c>
      <c r="L55" s="1">
        <v>0</v>
      </c>
      <c r="M55" s="3">
        <f t="shared" si="26"/>
        <v>9</v>
      </c>
      <c r="N55" s="1">
        <f t="shared" si="5"/>
        <v>7.1295999999999998E-3</v>
      </c>
      <c r="O55" s="1">
        <f t="shared" si="6"/>
        <v>7.1296E-4</v>
      </c>
      <c r="P55" s="1">
        <f t="shared" si="7"/>
        <v>2.8518399999999999E-2</v>
      </c>
      <c r="Q55" s="1">
        <f t="shared" si="8"/>
        <v>2.8518399999999999E-2</v>
      </c>
      <c r="R55" s="1">
        <f t="shared" si="9"/>
        <v>5.7749759999999997E-2</v>
      </c>
      <c r="S55" s="1">
        <v>2.5</v>
      </c>
      <c r="T55" s="1">
        <f t="shared" si="10"/>
        <v>2.0579787453773064</v>
      </c>
      <c r="U55" s="1">
        <v>9</v>
      </c>
      <c r="V55" s="1">
        <f t="shared" si="19"/>
        <v>0</v>
      </c>
      <c r="W55" s="1">
        <f t="shared" si="11"/>
        <v>1.75</v>
      </c>
      <c r="X55">
        <f t="shared" si="12"/>
        <v>4.433286745054563E-3</v>
      </c>
      <c r="Y55">
        <f t="shared" si="13"/>
        <v>1.1044687500000001</v>
      </c>
      <c r="Z55">
        <f t="shared" si="14"/>
        <v>5.2287364400305569E-2</v>
      </c>
      <c r="AA55" s="16">
        <f>VLOOKUP(Z55,Table2[#All],2,TRUE)</f>
        <v>7.4999999999999997E-2</v>
      </c>
      <c r="AB55" s="16">
        <f t="shared" si="15"/>
        <v>5.6249999999999994E-2</v>
      </c>
      <c r="AC55" s="16">
        <f>VLOOKUP(AA55,Table2[#All],3,TRUE)</f>
        <v>0.25</v>
      </c>
      <c r="AD55" s="16">
        <f t="shared" si="16"/>
        <v>0.625</v>
      </c>
      <c r="AE55">
        <f t="shared" si="17"/>
        <v>2.4338744230349549</v>
      </c>
      <c r="AF55">
        <v>100</v>
      </c>
      <c r="AG55">
        <v>100</v>
      </c>
      <c r="AH55">
        <f t="shared" si="25"/>
        <v>96.104166666666671</v>
      </c>
      <c r="AI55" s="16">
        <f t="shared" si="18"/>
        <v>93.670292243631721</v>
      </c>
      <c r="AJ55" s="16" t="s">
        <v>105</v>
      </c>
    </row>
    <row r="56" spans="1:36" x14ac:dyDescent="0.35">
      <c r="A56">
        <v>47</v>
      </c>
      <c r="B56" s="7" t="s">
        <v>66</v>
      </c>
      <c r="C56" s="2">
        <v>22</v>
      </c>
      <c r="D56" s="2">
        <v>23</v>
      </c>
      <c r="E56" s="1">
        <v>286</v>
      </c>
      <c r="F56" s="18">
        <f t="shared" si="1"/>
        <v>3.9111111111111114</v>
      </c>
      <c r="G56" s="18">
        <f t="shared" si="2"/>
        <v>0.39111111111111119</v>
      </c>
      <c r="H56" s="18">
        <f t="shared" si="3"/>
        <v>31.680000000000003</v>
      </c>
      <c r="I56" s="18">
        <v>98</v>
      </c>
      <c r="J56" s="18">
        <f t="shared" si="4"/>
        <v>0.32326530612244903</v>
      </c>
      <c r="K56" s="1">
        <v>11</v>
      </c>
      <c r="L56" s="1">
        <v>0</v>
      </c>
      <c r="M56" s="3">
        <f t="shared" si="26"/>
        <v>11</v>
      </c>
      <c r="N56" s="1">
        <f t="shared" si="5"/>
        <v>8.7139555555555553E-3</v>
      </c>
      <c r="O56" s="1">
        <f t="shared" si="6"/>
        <v>8.7139555555555562E-4</v>
      </c>
      <c r="P56" s="1">
        <f t="shared" si="7"/>
        <v>3.4855822222222221E-2</v>
      </c>
      <c r="Q56" s="1">
        <f t="shared" si="8"/>
        <v>3.4855822222222221E-2</v>
      </c>
      <c r="R56" s="1">
        <f t="shared" si="9"/>
        <v>7.058304E-2</v>
      </c>
      <c r="S56" s="1">
        <v>2.5</v>
      </c>
      <c r="T56" s="1">
        <f t="shared" si="10"/>
        <v>2.2751811083142925</v>
      </c>
      <c r="U56" s="1">
        <v>9</v>
      </c>
      <c r="V56" s="1">
        <f t="shared" si="19"/>
        <v>0</v>
      </c>
      <c r="W56" s="1">
        <f t="shared" si="11"/>
        <v>1.75</v>
      </c>
      <c r="X56">
        <f t="shared" si="12"/>
        <v>4.433286745054563E-3</v>
      </c>
      <c r="Y56">
        <f t="shared" si="13"/>
        <v>1.1044687500000001</v>
      </c>
      <c r="Z56">
        <f t="shared" si="14"/>
        <v>6.3906778711484591E-2</v>
      </c>
      <c r="AA56" s="16">
        <f>VLOOKUP(Z56,Table2[#All],2,TRUE)</f>
        <v>7.4999999999999997E-2</v>
      </c>
      <c r="AB56" s="16">
        <f t="shared" si="15"/>
        <v>5.6249999999999994E-2</v>
      </c>
      <c r="AC56" s="16">
        <f>VLOOKUP(AA56,Table2[#All],3,TRUE)</f>
        <v>0.25</v>
      </c>
      <c r="AD56" s="16">
        <f t="shared" si="16"/>
        <v>0.625</v>
      </c>
      <c r="AE56">
        <f t="shared" si="17"/>
        <v>1.2679200090856051</v>
      </c>
      <c r="AF56">
        <v>100</v>
      </c>
      <c r="AG56">
        <v>100</v>
      </c>
      <c r="AH56">
        <f t="shared" si="25"/>
        <v>96.104166666666671</v>
      </c>
      <c r="AI56" s="16">
        <f>AH56-AE56</f>
        <v>94.836246657581071</v>
      </c>
      <c r="AJ56" s="16" t="s">
        <v>105</v>
      </c>
    </row>
    <row r="57" spans="1:36" x14ac:dyDescent="0.35">
      <c r="A57">
        <v>48</v>
      </c>
      <c r="B57" s="6" t="s">
        <v>67</v>
      </c>
      <c r="C57" s="2">
        <v>24</v>
      </c>
      <c r="D57" s="2">
        <v>25</v>
      </c>
      <c r="E57" s="1">
        <v>285</v>
      </c>
      <c r="F57" s="18">
        <f t="shared" si="1"/>
        <v>1.7777777777777779</v>
      </c>
      <c r="G57" s="18">
        <f t="shared" si="2"/>
        <v>0.17777777777777781</v>
      </c>
      <c r="H57" s="18">
        <f t="shared" si="3"/>
        <v>14.4</v>
      </c>
      <c r="I57" s="18">
        <v>42</v>
      </c>
      <c r="J57" s="18">
        <f t="shared" si="4"/>
        <v>0.34285714285714286</v>
      </c>
      <c r="K57" s="1">
        <v>5</v>
      </c>
      <c r="L57" s="1">
        <v>0</v>
      </c>
      <c r="M57" s="3">
        <f t="shared" si="26"/>
        <v>5</v>
      </c>
      <c r="N57" s="1">
        <f t="shared" si="5"/>
        <v>3.9608888888888897E-3</v>
      </c>
      <c r="O57" s="1">
        <f t="shared" si="6"/>
        <v>3.9608888888888899E-4</v>
      </c>
      <c r="P57" s="1">
        <f t="shared" si="7"/>
        <v>1.5843555555555559E-2</v>
      </c>
      <c r="Q57" s="1">
        <f t="shared" si="8"/>
        <v>1.5843555555555559E-2</v>
      </c>
      <c r="R57" s="1">
        <f t="shared" si="9"/>
        <v>3.2083200000000006E-2</v>
      </c>
      <c r="S57" s="1">
        <v>2.5</v>
      </c>
      <c r="T57" s="1">
        <f t="shared" si="10"/>
        <v>1.5339267903044629</v>
      </c>
      <c r="U57" s="1">
        <v>9</v>
      </c>
      <c r="V57" s="1">
        <f t="shared" si="19"/>
        <v>0</v>
      </c>
      <c r="W57" s="1">
        <f t="shared" si="11"/>
        <v>1.75</v>
      </c>
      <c r="X57">
        <f t="shared" si="12"/>
        <v>4.433286745054563E-3</v>
      </c>
      <c r="Y57">
        <f t="shared" si="13"/>
        <v>1.1044687500000001</v>
      </c>
      <c r="Z57">
        <f t="shared" si="14"/>
        <v>2.9048535777947547E-2</v>
      </c>
      <c r="AA57" s="16">
        <f>VLOOKUP(Z57,Table2[#All],2,TRUE)</f>
        <v>0.05</v>
      </c>
      <c r="AB57" s="16">
        <f t="shared" si="15"/>
        <v>3.7500000000000006E-2</v>
      </c>
      <c r="AC57" s="16">
        <f>VLOOKUP(AA57,Table2[#All],3,TRUE)</f>
        <v>0.25</v>
      </c>
      <c r="AD57" s="16">
        <f t="shared" si="16"/>
        <v>0.625</v>
      </c>
      <c r="AE57">
        <f t="shared" si="17"/>
        <v>1.2634867223405504</v>
      </c>
      <c r="AF57">
        <v>100</v>
      </c>
      <c r="AG57">
        <v>100</v>
      </c>
      <c r="AH57">
        <f t="shared" si="25"/>
        <v>96.104166666666671</v>
      </c>
      <c r="AI57" s="16">
        <f t="shared" si="18"/>
        <v>94.840679944326126</v>
      </c>
      <c r="AJ57" s="16" t="s">
        <v>105</v>
      </c>
    </row>
    <row r="58" spans="1:36" x14ac:dyDescent="0.35">
      <c r="A58">
        <v>49</v>
      </c>
      <c r="B58" s="6" t="s">
        <v>68</v>
      </c>
      <c r="C58" s="2">
        <v>27</v>
      </c>
      <c r="D58" s="2">
        <v>30</v>
      </c>
      <c r="E58" s="1">
        <v>262</v>
      </c>
      <c r="F58" s="18">
        <f t="shared" si="1"/>
        <v>2.1333333333333333</v>
      </c>
      <c r="G58" s="18">
        <f t="shared" si="2"/>
        <v>0.21333333333333335</v>
      </c>
      <c r="H58" s="18">
        <f t="shared" si="3"/>
        <v>17.28</v>
      </c>
      <c r="I58" s="18">
        <v>50</v>
      </c>
      <c r="J58" s="18">
        <f t="shared" si="4"/>
        <v>0.34560000000000002</v>
      </c>
      <c r="K58" s="1">
        <v>6</v>
      </c>
      <c r="L58" s="1">
        <v>0</v>
      </c>
      <c r="M58" s="3">
        <f t="shared" si="26"/>
        <v>6</v>
      </c>
      <c r="N58" s="1">
        <f t="shared" si="5"/>
        <v>4.7530666666666666E-3</v>
      </c>
      <c r="O58" s="1">
        <f t="shared" si="6"/>
        <v>4.7530666666666669E-4</v>
      </c>
      <c r="P58" s="1">
        <f t="shared" si="7"/>
        <v>1.9012266666666666E-2</v>
      </c>
      <c r="Q58" s="1">
        <f t="shared" si="8"/>
        <v>1.9012266666666666E-2</v>
      </c>
      <c r="R58" s="1">
        <f t="shared" si="9"/>
        <v>3.849984E-2</v>
      </c>
      <c r="S58" s="1">
        <v>2.5</v>
      </c>
      <c r="T58" s="1">
        <f t="shared" si="10"/>
        <v>1.6803326092225022</v>
      </c>
      <c r="U58" s="1">
        <v>9</v>
      </c>
      <c r="V58" s="1">
        <f t="shared" si="19"/>
        <v>0</v>
      </c>
      <c r="W58" s="1">
        <f t="shared" si="11"/>
        <v>1.75</v>
      </c>
      <c r="X58">
        <f t="shared" si="12"/>
        <v>4.433286745054563E-3</v>
      </c>
      <c r="Y58">
        <f t="shared" si="13"/>
        <v>1.1044687500000001</v>
      </c>
      <c r="Z58">
        <f t="shared" si="14"/>
        <v>3.4858242933537051E-2</v>
      </c>
      <c r="AA58" s="16">
        <f>VLOOKUP(Z58,Table2[#All],2,TRUE)</f>
        <v>0.05</v>
      </c>
      <c r="AB58" s="16">
        <f t="shared" si="15"/>
        <v>3.7500000000000006E-2</v>
      </c>
      <c r="AC58" s="16">
        <f>VLOOKUP(AA58,Table2[#All],3,TRUE)</f>
        <v>0.25</v>
      </c>
      <c r="AD58" s="16">
        <f t="shared" si="16"/>
        <v>0.625</v>
      </c>
      <c r="AE58">
        <f t="shared" si="17"/>
        <v>1.1615211272042956</v>
      </c>
      <c r="AF58">
        <v>100</v>
      </c>
      <c r="AG58">
        <v>100</v>
      </c>
      <c r="AH58">
        <f t="shared" si="25"/>
        <v>96.104166666666671</v>
      </c>
      <c r="AI58" s="16">
        <f t="shared" si="18"/>
        <v>94.942645539462376</v>
      </c>
      <c r="AJ58" s="16" t="s">
        <v>105</v>
      </c>
    </row>
    <row r="59" spans="1:36" x14ac:dyDescent="0.35">
      <c r="A59">
        <v>50</v>
      </c>
      <c r="B59" s="6" t="s">
        <v>69</v>
      </c>
      <c r="C59" s="2">
        <v>26</v>
      </c>
      <c r="D59" s="2">
        <v>31</v>
      </c>
      <c r="E59" s="1">
        <v>278</v>
      </c>
      <c r="F59" s="18">
        <f t="shared" si="1"/>
        <v>3.2</v>
      </c>
      <c r="G59" s="18">
        <f t="shared" si="2"/>
        <v>0.32000000000000006</v>
      </c>
      <c r="H59" s="18">
        <f t="shared" si="3"/>
        <v>25.92</v>
      </c>
      <c r="I59" s="18">
        <v>78</v>
      </c>
      <c r="J59" s="18">
        <f t="shared" si="4"/>
        <v>0.3323076923076923</v>
      </c>
      <c r="K59" s="1">
        <v>9</v>
      </c>
      <c r="L59" s="1">
        <v>0</v>
      </c>
      <c r="M59" s="3">
        <f t="shared" si="26"/>
        <v>9</v>
      </c>
      <c r="N59" s="1">
        <f t="shared" si="5"/>
        <v>7.1295999999999998E-3</v>
      </c>
      <c r="O59" s="1">
        <f t="shared" si="6"/>
        <v>7.1296E-4</v>
      </c>
      <c r="P59" s="1">
        <f t="shared" si="7"/>
        <v>2.8518399999999999E-2</v>
      </c>
      <c r="Q59" s="1">
        <f t="shared" si="8"/>
        <v>2.8518399999999999E-2</v>
      </c>
      <c r="R59" s="1">
        <f t="shared" si="9"/>
        <v>5.7749759999999997E-2</v>
      </c>
      <c r="S59" s="1">
        <v>2.5</v>
      </c>
      <c r="T59" s="1">
        <f t="shared" si="10"/>
        <v>2.0579787453773064</v>
      </c>
      <c r="U59" s="1">
        <v>9</v>
      </c>
      <c r="V59" s="1">
        <f t="shared" si="19"/>
        <v>0</v>
      </c>
      <c r="W59" s="1">
        <f t="shared" si="11"/>
        <v>1.75</v>
      </c>
      <c r="X59">
        <f t="shared" si="12"/>
        <v>4.433286745054563E-3</v>
      </c>
      <c r="Y59">
        <f t="shared" si="13"/>
        <v>1.1044687500000001</v>
      </c>
      <c r="Z59">
        <f t="shared" si="14"/>
        <v>5.2287364400305569E-2</v>
      </c>
      <c r="AA59" s="16">
        <f>VLOOKUP(Z59,Table2[#All],2,TRUE)</f>
        <v>7.4999999999999997E-2</v>
      </c>
      <c r="AB59" s="16">
        <f t="shared" si="15"/>
        <v>5.6249999999999994E-2</v>
      </c>
      <c r="AC59" s="16">
        <f>VLOOKUP(AA59,Table2[#All],3,TRUE)</f>
        <v>0.25</v>
      </c>
      <c r="AD59" s="16">
        <f t="shared" si="16"/>
        <v>0.625</v>
      </c>
      <c r="AE59">
        <f t="shared" si="17"/>
        <v>1.2324537151251684</v>
      </c>
      <c r="AF59">
        <v>100</v>
      </c>
      <c r="AG59">
        <v>100</v>
      </c>
      <c r="AH59">
        <f t="shared" si="25"/>
        <v>96.104166666666671</v>
      </c>
      <c r="AI59" s="16">
        <f t="shared" si="18"/>
        <v>94.871712951541497</v>
      </c>
      <c r="AJ59" s="16" t="s">
        <v>105</v>
      </c>
    </row>
    <row r="60" spans="1:36" x14ac:dyDescent="0.35">
      <c r="A60">
        <v>51</v>
      </c>
      <c r="B60" s="6" t="s">
        <v>70</v>
      </c>
      <c r="C60" s="2">
        <v>39</v>
      </c>
      <c r="D60" s="2">
        <v>49</v>
      </c>
      <c r="E60" s="1">
        <v>322</v>
      </c>
      <c r="F60" s="18">
        <f t="shared" si="1"/>
        <v>3.2</v>
      </c>
      <c r="G60" s="18">
        <f t="shared" si="2"/>
        <v>0.32000000000000006</v>
      </c>
      <c r="H60" s="18">
        <f t="shared" si="3"/>
        <v>25.92</v>
      </c>
      <c r="I60" s="18">
        <v>84</v>
      </c>
      <c r="J60" s="18">
        <f t="shared" si="4"/>
        <v>0.30857142857142861</v>
      </c>
      <c r="K60" s="1">
        <v>9</v>
      </c>
      <c r="L60" s="1">
        <v>0</v>
      </c>
      <c r="M60" s="3">
        <f t="shared" si="26"/>
        <v>9</v>
      </c>
      <c r="N60" s="1">
        <f t="shared" si="5"/>
        <v>7.1295999999999998E-3</v>
      </c>
      <c r="O60" s="1">
        <f t="shared" si="6"/>
        <v>7.1296E-4</v>
      </c>
      <c r="P60" s="1">
        <f t="shared" si="7"/>
        <v>2.8518399999999999E-2</v>
      </c>
      <c r="Q60" s="1">
        <f t="shared" si="8"/>
        <v>2.8518399999999999E-2</v>
      </c>
      <c r="R60" s="1">
        <f t="shared" si="9"/>
        <v>5.7749759999999997E-2</v>
      </c>
      <c r="S60" s="1">
        <v>2.5</v>
      </c>
      <c r="T60" s="1">
        <f t="shared" si="10"/>
        <v>2.0579787453773064</v>
      </c>
      <c r="U60" s="1">
        <v>9</v>
      </c>
      <c r="V60" s="1">
        <f t="shared" si="19"/>
        <v>0</v>
      </c>
      <c r="W60" s="1">
        <f t="shared" si="11"/>
        <v>1.75</v>
      </c>
      <c r="X60">
        <f t="shared" si="12"/>
        <v>4.433286745054563E-3</v>
      </c>
      <c r="Y60">
        <f t="shared" si="13"/>
        <v>1.1044687500000001</v>
      </c>
      <c r="Z60">
        <f t="shared" si="14"/>
        <v>5.2287364400305569E-2</v>
      </c>
      <c r="AA60" s="16">
        <f>VLOOKUP(Z60,Table2[#All],2,TRUE)</f>
        <v>7.4999999999999997E-2</v>
      </c>
      <c r="AB60" s="16">
        <f t="shared" si="15"/>
        <v>5.6249999999999994E-2</v>
      </c>
      <c r="AC60" s="16">
        <f>VLOOKUP(AA60,Table2[#All],3,TRUE)</f>
        <v>0.25</v>
      </c>
      <c r="AD60" s="16">
        <f t="shared" si="16"/>
        <v>0.625</v>
      </c>
      <c r="AE60">
        <f t="shared" si="17"/>
        <v>1.4275183319075693</v>
      </c>
      <c r="AF60">
        <v>100</v>
      </c>
      <c r="AG60">
        <v>100</v>
      </c>
      <c r="AH60">
        <f t="shared" si="25"/>
        <v>96.104166666666671</v>
      </c>
      <c r="AI60" s="16">
        <f t="shared" si="18"/>
        <v>94.676648334759108</v>
      </c>
      <c r="AJ60" s="16" t="s">
        <v>105</v>
      </c>
    </row>
    <row r="61" spans="1:36" x14ac:dyDescent="0.35">
      <c r="B61" s="8"/>
      <c r="C61" s="2"/>
      <c r="D61" s="2"/>
      <c r="E61" s="1"/>
      <c r="F61" s="1"/>
      <c r="G61" s="1"/>
      <c r="H61" s="1"/>
      <c r="I61" s="1"/>
      <c r="J61" s="1"/>
      <c r="K61" s="1"/>
      <c r="L61" s="1"/>
      <c r="M61" s="3"/>
      <c r="N61" s="1"/>
      <c r="O61" s="1"/>
      <c r="P61" s="1"/>
      <c r="Q61" s="1"/>
      <c r="R61" s="1"/>
      <c r="S61" s="1"/>
      <c r="T61" s="1"/>
      <c r="U61" s="1"/>
      <c r="V61" s="1"/>
    </row>
    <row r="62" spans="1:36" x14ac:dyDescent="0.35">
      <c r="B62" s="8"/>
      <c r="C62" s="2"/>
      <c r="D62" s="2"/>
      <c r="E62" s="1"/>
      <c r="F62" s="1"/>
      <c r="G62" s="1"/>
      <c r="H62" s="1"/>
      <c r="I62" s="1"/>
      <c r="J62" s="1"/>
      <c r="K62" s="1"/>
      <c r="L62" s="1"/>
      <c r="M62" s="3"/>
      <c r="N62" s="1"/>
      <c r="O62" s="1"/>
      <c r="P62" s="1"/>
      <c r="Q62" s="1"/>
      <c r="R62" s="1"/>
      <c r="S62" s="1"/>
      <c r="T62" s="1"/>
      <c r="U62" s="1"/>
      <c r="V62" s="1"/>
    </row>
    <row r="63" spans="1:36" x14ac:dyDescent="0.35">
      <c r="B63" s="8"/>
      <c r="C63" s="2"/>
      <c r="D63" s="2"/>
      <c r="E63" s="1"/>
      <c r="F63" s="1"/>
      <c r="G63" s="1"/>
      <c r="H63" s="1"/>
      <c r="I63" s="1"/>
      <c r="J63" s="1"/>
      <c r="K63" s="1"/>
      <c r="L63" s="1"/>
      <c r="M63" s="3"/>
      <c r="N63" s="1"/>
      <c r="O63" s="1"/>
      <c r="P63" s="1"/>
      <c r="Q63" s="1"/>
      <c r="R63" s="1"/>
      <c r="S63" s="1"/>
      <c r="T63" s="1"/>
      <c r="U63" s="1"/>
      <c r="V63" s="1"/>
    </row>
    <row r="64" spans="1:36" x14ac:dyDescent="0.35">
      <c r="B64" s="8"/>
      <c r="C64" s="2"/>
      <c r="D64" s="2"/>
      <c r="E64" s="1"/>
      <c r="F64" s="1"/>
      <c r="G64" s="1"/>
      <c r="H64" s="1"/>
      <c r="I64" s="1"/>
      <c r="J64" s="1"/>
      <c r="K64" s="1"/>
      <c r="L64" s="1"/>
      <c r="M64" s="3"/>
      <c r="N64" s="1"/>
      <c r="O64" s="1"/>
      <c r="P64" s="1"/>
      <c r="Q64" s="1"/>
      <c r="R64" s="1"/>
      <c r="S64" s="1"/>
      <c r="T64" s="1"/>
      <c r="U64" s="1"/>
      <c r="V64" s="1"/>
    </row>
    <row r="65" spans="2:35" x14ac:dyDescent="0.35">
      <c r="B65" s="8"/>
      <c r="C65" s="2"/>
      <c r="D65" s="2"/>
      <c r="E65" s="1"/>
      <c r="F65" s="1"/>
      <c r="G65" s="1"/>
      <c r="H65" s="1"/>
      <c r="I65" s="1"/>
      <c r="J65" s="1"/>
      <c r="K65" s="1"/>
      <c r="L65" s="1"/>
      <c r="M65" s="3"/>
      <c r="N65" s="1"/>
      <c r="O65" s="1"/>
      <c r="P65" s="1"/>
      <c r="Q65" s="1"/>
      <c r="R65" s="1"/>
      <c r="S65" s="1"/>
      <c r="T65" s="1"/>
      <c r="U65" s="1"/>
      <c r="V65" s="1"/>
      <c r="AB65" t="s">
        <v>95</v>
      </c>
      <c r="AC65" t="s">
        <v>85</v>
      </c>
      <c r="AD65" t="s">
        <v>96</v>
      </c>
    </row>
    <row r="66" spans="2:35" x14ac:dyDescent="0.35">
      <c r="B66" s="8"/>
      <c r="C66" s="2"/>
      <c r="D66" s="2"/>
      <c r="E66" s="2"/>
      <c r="F66" s="2"/>
      <c r="G66" s="2"/>
      <c r="H66" s="2"/>
      <c r="I66" s="2"/>
      <c r="J66" s="2"/>
      <c r="K66" s="1"/>
      <c r="L66" s="1"/>
      <c r="M66" s="3"/>
      <c r="N66" s="1"/>
      <c r="O66" s="1"/>
      <c r="P66" s="1"/>
      <c r="Q66" s="1"/>
      <c r="R66" s="1"/>
      <c r="S66" s="1"/>
      <c r="T66" s="1"/>
      <c r="U66" s="1"/>
      <c r="V66" s="1"/>
      <c r="AB66">
        <v>0</v>
      </c>
      <c r="AC66">
        <v>0.05</v>
      </c>
      <c r="AD66">
        <v>0.2</v>
      </c>
    </row>
    <row r="67" spans="2:35" x14ac:dyDescent="0.35">
      <c r="B67" s="8"/>
      <c r="C67" s="2"/>
      <c r="D67" s="2"/>
      <c r="E67" s="2"/>
      <c r="F67" s="2"/>
      <c r="G67" s="2"/>
      <c r="H67" s="2"/>
      <c r="I67" s="2"/>
      <c r="J67" s="2"/>
      <c r="K67" s="1"/>
      <c r="L67" s="1"/>
      <c r="M67" s="3"/>
      <c r="N67" s="1"/>
      <c r="O67" s="1"/>
      <c r="P67" s="1"/>
      <c r="Q67" s="1"/>
      <c r="R67" s="1"/>
      <c r="S67" s="1"/>
      <c r="T67" s="1"/>
      <c r="U67" s="1"/>
      <c r="V67" s="1"/>
      <c r="AB67">
        <v>0.05</v>
      </c>
      <c r="AC67">
        <v>7.4999999999999997E-2</v>
      </c>
      <c r="AD67">
        <v>0.25</v>
      </c>
    </row>
    <row r="68" spans="2:35" x14ac:dyDescent="0.35">
      <c r="B68" s="8"/>
      <c r="C68" s="2"/>
      <c r="D68" s="2"/>
      <c r="E68" s="2"/>
      <c r="F68" s="2"/>
      <c r="G68" s="2"/>
      <c r="H68" s="2"/>
      <c r="I68" s="2"/>
      <c r="J68" s="2"/>
      <c r="K68" s="1"/>
      <c r="L68" s="1"/>
      <c r="M68" s="3"/>
      <c r="N68" s="1"/>
      <c r="O68" s="1"/>
      <c r="P68" s="1"/>
      <c r="Q68" s="1"/>
      <c r="R68" s="1"/>
      <c r="S68" s="1"/>
      <c r="T68" s="1"/>
      <c r="U68" s="1"/>
      <c r="V68" s="1"/>
      <c r="AB68">
        <v>0.1</v>
      </c>
      <c r="AC68">
        <v>0.25</v>
      </c>
      <c r="AD68">
        <v>0.55000000000000004</v>
      </c>
    </row>
    <row r="69" spans="2:35" x14ac:dyDescent="0.35">
      <c r="B69" s="8"/>
      <c r="C69" s="2"/>
      <c r="D69" s="2"/>
      <c r="E69" s="2"/>
      <c r="F69" s="2"/>
      <c r="G69" s="2"/>
      <c r="H69" s="2"/>
      <c r="I69" s="2"/>
      <c r="J69" s="2"/>
      <c r="K69" s="1"/>
      <c r="L69" s="1"/>
      <c r="M69" s="3"/>
      <c r="N69" s="1"/>
      <c r="O69" s="1"/>
      <c r="P69" s="1"/>
      <c r="Q69" s="1"/>
      <c r="R69" s="1"/>
      <c r="S69" s="1"/>
      <c r="T69" s="1"/>
      <c r="U69" s="1"/>
      <c r="V69" s="1"/>
      <c r="AB69">
        <v>0.15</v>
      </c>
      <c r="AC69">
        <v>0.3</v>
      </c>
      <c r="AD69">
        <v>0.6</v>
      </c>
    </row>
    <row r="70" spans="2:35" x14ac:dyDescent="0.35">
      <c r="B70" s="8"/>
      <c r="C70" s="2"/>
      <c r="D70" s="2"/>
      <c r="E70" s="2"/>
      <c r="F70" s="2"/>
      <c r="G70" s="2"/>
      <c r="H70" s="2"/>
      <c r="I70" s="2"/>
      <c r="J70" s="2"/>
      <c r="K70" s="1"/>
      <c r="L70" s="1"/>
      <c r="M70" s="3"/>
      <c r="N70" s="1"/>
      <c r="O70" s="1"/>
      <c r="P70" s="1"/>
      <c r="Q70" s="1"/>
      <c r="R70" s="1"/>
      <c r="S70" s="1"/>
      <c r="T70" s="1"/>
      <c r="U70" s="1"/>
      <c r="V70" s="1"/>
      <c r="AB70">
        <v>0.2</v>
      </c>
      <c r="AC70">
        <v>0.35</v>
      </c>
      <c r="AD70">
        <v>0.65</v>
      </c>
    </row>
    <row r="71" spans="2:35" x14ac:dyDescent="0.35">
      <c r="B71" s="6"/>
      <c r="C71" s="2"/>
      <c r="D71" s="2"/>
      <c r="E71" s="2"/>
      <c r="F71" s="2"/>
      <c r="G71" s="2"/>
      <c r="H71" s="2"/>
      <c r="I71" s="2"/>
      <c r="J71" s="2"/>
      <c r="K71" s="1"/>
      <c r="L71" s="1"/>
      <c r="M71" s="3"/>
      <c r="N71" s="1"/>
      <c r="O71" s="1"/>
      <c r="P71" s="1"/>
      <c r="Q71" s="1"/>
      <c r="R71" s="1"/>
      <c r="S71" s="1"/>
      <c r="T71" s="1"/>
      <c r="U71" s="1"/>
      <c r="V71" s="1"/>
      <c r="AB71">
        <v>0.25</v>
      </c>
      <c r="AC71">
        <v>0.4</v>
      </c>
      <c r="AD71">
        <v>0.7</v>
      </c>
    </row>
    <row r="72" spans="2:35" ht="18.5" x14ac:dyDescent="0.45">
      <c r="B72" s="6"/>
      <c r="C72" s="2"/>
      <c r="D72" s="2"/>
      <c r="E72" s="1"/>
      <c r="F72" s="1"/>
      <c r="G72" s="1"/>
      <c r="H72" s="1"/>
      <c r="I72" s="1"/>
      <c r="J72" s="1"/>
      <c r="K72" s="1"/>
      <c r="L72" s="1"/>
      <c r="M72" s="3"/>
      <c r="N72" s="1"/>
      <c r="O72" s="1"/>
      <c r="P72" s="1"/>
      <c r="Q72" s="1"/>
      <c r="R72" s="1"/>
      <c r="S72" s="1"/>
      <c r="T72" s="1"/>
      <c r="U72" s="1"/>
      <c r="V72" s="1"/>
      <c r="AB72">
        <v>0.3</v>
      </c>
      <c r="AC72">
        <v>0.42499999999999999</v>
      </c>
      <c r="AD72">
        <v>0.72499999999999998</v>
      </c>
      <c r="AI72" s="27"/>
    </row>
    <row r="73" spans="2:35" x14ac:dyDescent="0.35">
      <c r="B73" s="6"/>
      <c r="C73" s="2"/>
      <c r="D73" s="2"/>
      <c r="E73" s="1"/>
      <c r="F73" s="1"/>
      <c r="G73" s="1"/>
      <c r="H73" s="1"/>
      <c r="I73" s="1"/>
      <c r="J73" s="1"/>
      <c r="K73" s="1"/>
      <c r="L73" s="1"/>
      <c r="M73" s="3"/>
      <c r="N73" s="1"/>
      <c r="O73" s="1"/>
      <c r="P73" s="1"/>
      <c r="Q73" s="1"/>
      <c r="R73" s="1"/>
      <c r="S73" s="1"/>
      <c r="T73" s="1"/>
      <c r="U73" s="1"/>
      <c r="V73" s="1"/>
      <c r="AB73">
        <v>0.35</v>
      </c>
      <c r="AC73">
        <v>0.45</v>
      </c>
      <c r="AD73">
        <v>0.75</v>
      </c>
    </row>
    <row r="74" spans="2:35" x14ac:dyDescent="0.35">
      <c r="B74" s="1"/>
      <c r="C74" s="2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AB74">
        <v>0.4</v>
      </c>
      <c r="AC74">
        <v>0.5</v>
      </c>
      <c r="AD74">
        <v>0.8</v>
      </c>
    </row>
    <row r="75" spans="2:35" x14ac:dyDescent="0.3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AB75">
        <v>0.45</v>
      </c>
      <c r="AC75">
        <v>0.52500000000000002</v>
      </c>
      <c r="AD75">
        <v>0.82499999999999996</v>
      </c>
    </row>
    <row r="76" spans="2:35" x14ac:dyDescent="0.3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AB76">
        <v>0.5</v>
      </c>
      <c r="AC76">
        <v>0.55000000000000004</v>
      </c>
      <c r="AD76">
        <v>0.85</v>
      </c>
    </row>
    <row r="77" spans="2:35" x14ac:dyDescent="0.3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AB77">
        <v>0.55000000000000004</v>
      </c>
      <c r="AC77">
        <v>0.6</v>
      </c>
      <c r="AD77">
        <v>0.875</v>
      </c>
    </row>
    <row r="78" spans="2:35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AB78">
        <v>0.6</v>
      </c>
      <c r="AC78">
        <v>0.625</v>
      </c>
      <c r="AD78">
        <v>0.9</v>
      </c>
    </row>
    <row r="79" spans="2:35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AB79">
        <v>0.65</v>
      </c>
      <c r="AC79">
        <v>0.65</v>
      </c>
      <c r="AD79">
        <v>0.92500000000000004</v>
      </c>
    </row>
    <row r="80" spans="2:35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AB80">
        <v>0.7</v>
      </c>
      <c r="AC80">
        <v>0.7</v>
      </c>
      <c r="AD80">
        <v>0.95</v>
      </c>
    </row>
    <row r="81" spans="2:39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AB81">
        <v>0.75</v>
      </c>
      <c r="AC81">
        <v>0.72499999999999998</v>
      </c>
      <c r="AD81">
        <v>0.97499999999999998</v>
      </c>
    </row>
    <row r="82" spans="2:39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AB82">
        <v>0.8</v>
      </c>
      <c r="AC82">
        <v>0.75</v>
      </c>
      <c r="AD82">
        <v>0.97499999999999998</v>
      </c>
    </row>
    <row r="83" spans="2:39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AB83">
        <v>0.85</v>
      </c>
      <c r="AC83">
        <v>0.8</v>
      </c>
      <c r="AD83">
        <v>1</v>
      </c>
    </row>
    <row r="84" spans="2:39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AB84">
        <v>0.9</v>
      </c>
      <c r="AC84">
        <v>0.82499999999999996</v>
      </c>
      <c r="AD84">
        <v>1.25</v>
      </c>
    </row>
    <row r="85" spans="2:39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AB85">
        <v>0.95</v>
      </c>
      <c r="AC85">
        <v>0.875</v>
      </c>
      <c r="AD85">
        <v>1.25</v>
      </c>
    </row>
    <row r="86" spans="2:39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AB86">
        <v>1</v>
      </c>
      <c r="AC86">
        <v>0.92500000000000004</v>
      </c>
      <c r="AD86">
        <v>1.5</v>
      </c>
    </row>
    <row r="87" spans="2:39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2:39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2:39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3" spans="2:39" x14ac:dyDescent="0.35">
      <c r="V93" t="s">
        <v>106</v>
      </c>
      <c r="W93" s="1" t="s">
        <v>107</v>
      </c>
      <c r="X93" t="s">
        <v>108</v>
      </c>
      <c r="Y93" t="s">
        <v>109</v>
      </c>
      <c r="Z93" t="s">
        <v>110</v>
      </c>
      <c r="AA93" t="s">
        <v>111</v>
      </c>
      <c r="AB93" t="s">
        <v>112</v>
      </c>
      <c r="AC93" t="s">
        <v>113</v>
      </c>
      <c r="AD93" t="s">
        <v>114</v>
      </c>
      <c r="AF93" t="s">
        <v>116</v>
      </c>
      <c r="AG93" t="s">
        <v>117</v>
      </c>
      <c r="AH93" t="s">
        <v>118</v>
      </c>
      <c r="AI93" t="s">
        <v>119</v>
      </c>
      <c r="AJ93" t="s">
        <v>120</v>
      </c>
      <c r="AK93" t="s">
        <v>121</v>
      </c>
      <c r="AL93" t="s">
        <v>122</v>
      </c>
      <c r="AM93" t="s">
        <v>123</v>
      </c>
    </row>
    <row r="94" spans="2:39" x14ac:dyDescent="0.35">
      <c r="V94">
        <v>31</v>
      </c>
      <c r="W94" s="1" t="s">
        <v>124</v>
      </c>
      <c r="X94">
        <v>100</v>
      </c>
      <c r="Y94" t="b">
        <v>1</v>
      </c>
      <c r="Z94">
        <v>100</v>
      </c>
      <c r="AA94" t="b">
        <v>0</v>
      </c>
      <c r="AB94">
        <v>96.1</v>
      </c>
      <c r="AC94" t="s">
        <v>125</v>
      </c>
      <c r="AD94" t="s">
        <v>126</v>
      </c>
      <c r="AE94" t="s">
        <v>115</v>
      </c>
      <c r="AF94" t="s">
        <v>116</v>
      </c>
      <c r="AG94" t="s">
        <v>117</v>
      </c>
      <c r="AH94" t="s">
        <v>118</v>
      </c>
      <c r="AI94" t="s">
        <v>119</v>
      </c>
      <c r="AJ94" t="s">
        <v>120</v>
      </c>
      <c r="AK94" t="s">
        <v>121</v>
      </c>
      <c r="AL94" t="s">
        <v>127</v>
      </c>
    </row>
    <row r="95" spans="2:39" x14ac:dyDescent="0.35">
      <c r="V95">
        <v>32</v>
      </c>
      <c r="W95" s="1" t="s">
        <v>128</v>
      </c>
      <c r="X95">
        <v>100</v>
      </c>
      <c r="Y95" t="b">
        <v>1</v>
      </c>
      <c r="Z95">
        <v>100</v>
      </c>
      <c r="AA95" t="b">
        <v>0</v>
      </c>
      <c r="AB95">
        <v>96.1</v>
      </c>
      <c r="AC95" t="s">
        <v>125</v>
      </c>
      <c r="AD95" t="s">
        <v>126</v>
      </c>
      <c r="AE95" t="s">
        <v>115</v>
      </c>
      <c r="AF95" t="s">
        <v>116</v>
      </c>
      <c r="AG95" t="s">
        <v>117</v>
      </c>
      <c r="AH95" t="s">
        <v>118</v>
      </c>
      <c r="AI95" t="s">
        <v>119</v>
      </c>
      <c r="AJ95" t="s">
        <v>120</v>
      </c>
      <c r="AK95" t="s">
        <v>121</v>
      </c>
      <c r="AL95" t="s">
        <v>127</v>
      </c>
    </row>
    <row r="96" spans="2:39" x14ac:dyDescent="0.35">
      <c r="V96">
        <v>33</v>
      </c>
      <c r="W96" s="1" t="s">
        <v>129</v>
      </c>
      <c r="X96">
        <v>100</v>
      </c>
      <c r="Y96" t="b">
        <v>1</v>
      </c>
      <c r="Z96">
        <v>100</v>
      </c>
      <c r="AA96" t="b">
        <v>0</v>
      </c>
      <c r="AB96">
        <v>94.81</v>
      </c>
      <c r="AC96" t="s">
        <v>125</v>
      </c>
      <c r="AD96" t="s">
        <v>126</v>
      </c>
      <c r="AE96" t="s">
        <v>115</v>
      </c>
      <c r="AF96" t="s">
        <v>116</v>
      </c>
      <c r="AG96" t="s">
        <v>117</v>
      </c>
      <c r="AH96" t="s">
        <v>118</v>
      </c>
      <c r="AI96" t="s">
        <v>119</v>
      </c>
      <c r="AJ96" t="s">
        <v>120</v>
      </c>
      <c r="AK96" t="s">
        <v>121</v>
      </c>
      <c r="AL96" t="s">
        <v>127</v>
      </c>
    </row>
    <row r="97" spans="22:38" x14ac:dyDescent="0.35">
      <c r="V97">
        <v>34</v>
      </c>
      <c r="W97" s="1" t="s">
        <v>130</v>
      </c>
      <c r="X97">
        <v>100</v>
      </c>
      <c r="Y97" t="b">
        <v>1</v>
      </c>
      <c r="Z97">
        <v>100</v>
      </c>
      <c r="AA97" t="b">
        <v>0</v>
      </c>
      <c r="AB97">
        <v>96.1</v>
      </c>
      <c r="AC97" t="s">
        <v>125</v>
      </c>
      <c r="AD97" t="s">
        <v>126</v>
      </c>
      <c r="AE97" t="s">
        <v>115</v>
      </c>
      <c r="AF97" t="s">
        <v>116</v>
      </c>
      <c r="AG97" t="s">
        <v>117</v>
      </c>
      <c r="AH97" t="s">
        <v>118</v>
      </c>
      <c r="AI97" t="s">
        <v>119</v>
      </c>
      <c r="AJ97" t="s">
        <v>120</v>
      </c>
      <c r="AK97" t="s">
        <v>121</v>
      </c>
      <c r="AL97" t="s">
        <v>127</v>
      </c>
    </row>
    <row r="98" spans="22:38" x14ac:dyDescent="0.35">
      <c r="V98">
        <v>35</v>
      </c>
      <c r="W98" s="1" t="s">
        <v>131</v>
      </c>
      <c r="X98">
        <v>100</v>
      </c>
      <c r="Y98" t="b">
        <v>1</v>
      </c>
      <c r="Z98">
        <v>100</v>
      </c>
      <c r="AA98" t="b">
        <v>0</v>
      </c>
      <c r="AB98">
        <v>94.13</v>
      </c>
      <c r="AC98" t="s">
        <v>125</v>
      </c>
      <c r="AD98" t="s">
        <v>126</v>
      </c>
      <c r="AE98" t="s">
        <v>115</v>
      </c>
      <c r="AF98" t="s">
        <v>116</v>
      </c>
      <c r="AG98" t="s">
        <v>117</v>
      </c>
      <c r="AH98" t="s">
        <v>118</v>
      </c>
      <c r="AI98" t="s">
        <v>119</v>
      </c>
      <c r="AJ98" t="s">
        <v>120</v>
      </c>
      <c r="AK98" t="s">
        <v>121</v>
      </c>
      <c r="AL98" t="s">
        <v>127</v>
      </c>
    </row>
    <row r="99" spans="22:38" x14ac:dyDescent="0.35">
      <c r="V99">
        <v>36</v>
      </c>
      <c r="W99" s="1" t="s">
        <v>132</v>
      </c>
      <c r="X99">
        <v>100</v>
      </c>
      <c r="Y99" t="b">
        <v>1</v>
      </c>
      <c r="Z99">
        <v>100</v>
      </c>
      <c r="AA99" t="b">
        <v>0</v>
      </c>
      <c r="AB99">
        <v>96.1</v>
      </c>
      <c r="AC99" t="s">
        <v>125</v>
      </c>
      <c r="AD99" t="s">
        <v>126</v>
      </c>
      <c r="AE99" t="s">
        <v>115</v>
      </c>
      <c r="AF99" t="s">
        <v>116</v>
      </c>
      <c r="AG99" t="s">
        <v>117</v>
      </c>
      <c r="AH99" t="s">
        <v>118</v>
      </c>
      <c r="AI99" t="s">
        <v>119</v>
      </c>
      <c r="AJ99" t="s">
        <v>120</v>
      </c>
      <c r="AK99" t="s">
        <v>121</v>
      </c>
      <c r="AL99" t="s">
        <v>127</v>
      </c>
    </row>
    <row r="100" spans="22:38" x14ac:dyDescent="0.35">
      <c r="V100">
        <v>37</v>
      </c>
      <c r="W100" s="1" t="s">
        <v>133</v>
      </c>
      <c r="X100">
        <v>100</v>
      </c>
      <c r="Y100" t="b">
        <v>1</v>
      </c>
      <c r="Z100">
        <v>100</v>
      </c>
      <c r="AA100" t="b">
        <v>0</v>
      </c>
      <c r="AB100">
        <v>95.54</v>
      </c>
      <c r="AC100" t="s">
        <v>125</v>
      </c>
      <c r="AD100" t="s">
        <v>126</v>
      </c>
      <c r="AE100" t="s">
        <v>115</v>
      </c>
      <c r="AF100" t="s">
        <v>116</v>
      </c>
      <c r="AG100" t="s">
        <v>117</v>
      </c>
      <c r="AH100" t="s">
        <v>118</v>
      </c>
      <c r="AI100" t="s">
        <v>119</v>
      </c>
      <c r="AJ100" t="s">
        <v>120</v>
      </c>
      <c r="AK100" t="s">
        <v>121</v>
      </c>
      <c r="AL100" t="s">
        <v>127</v>
      </c>
    </row>
    <row r="101" spans="22:38" x14ac:dyDescent="0.35">
      <c r="V101">
        <v>38</v>
      </c>
      <c r="W101" s="1" t="s">
        <v>134</v>
      </c>
      <c r="X101">
        <v>100</v>
      </c>
      <c r="Y101" t="b">
        <v>1</v>
      </c>
      <c r="Z101">
        <v>100</v>
      </c>
      <c r="AA101" t="b">
        <v>0</v>
      </c>
      <c r="AB101">
        <v>92.47</v>
      </c>
      <c r="AC101" t="s">
        <v>125</v>
      </c>
      <c r="AD101" t="s">
        <v>126</v>
      </c>
      <c r="AE101" t="s">
        <v>115</v>
      </c>
      <c r="AF101" t="s">
        <v>116</v>
      </c>
      <c r="AG101" t="s">
        <v>117</v>
      </c>
      <c r="AH101" t="s">
        <v>118</v>
      </c>
      <c r="AI101" t="s">
        <v>119</v>
      </c>
      <c r="AJ101" t="s">
        <v>120</v>
      </c>
      <c r="AK101" t="s">
        <v>121</v>
      </c>
      <c r="AL101" t="s">
        <v>127</v>
      </c>
    </row>
    <row r="102" spans="22:38" x14ac:dyDescent="0.35">
      <c r="V102">
        <v>39</v>
      </c>
      <c r="W102" s="1" t="s">
        <v>135</v>
      </c>
      <c r="X102">
        <v>100</v>
      </c>
      <c r="Y102" t="b">
        <v>1</v>
      </c>
      <c r="Z102">
        <v>100</v>
      </c>
      <c r="AA102" t="b">
        <v>0</v>
      </c>
      <c r="AB102">
        <v>96.1</v>
      </c>
      <c r="AC102" t="s">
        <v>125</v>
      </c>
      <c r="AD102" t="s">
        <v>126</v>
      </c>
      <c r="AE102" t="s">
        <v>115</v>
      </c>
      <c r="AF102" t="s">
        <v>116</v>
      </c>
      <c r="AG102" t="s">
        <v>117</v>
      </c>
      <c r="AH102" t="s">
        <v>118</v>
      </c>
      <c r="AI102" t="s">
        <v>119</v>
      </c>
      <c r="AJ102" t="s">
        <v>120</v>
      </c>
      <c r="AK102" t="s">
        <v>121</v>
      </c>
      <c r="AL102" t="s">
        <v>127</v>
      </c>
    </row>
    <row r="103" spans="22:38" x14ac:dyDescent="0.35">
      <c r="V103">
        <v>40</v>
      </c>
      <c r="W103" s="1" t="s">
        <v>136</v>
      </c>
      <c r="X103">
        <v>100</v>
      </c>
      <c r="Y103" t="b">
        <v>1</v>
      </c>
      <c r="Z103">
        <v>100</v>
      </c>
      <c r="AA103" t="b">
        <v>0</v>
      </c>
      <c r="AB103">
        <v>96.1</v>
      </c>
      <c r="AC103" t="s">
        <v>125</v>
      </c>
      <c r="AD103" t="s">
        <v>126</v>
      </c>
      <c r="AE103" t="s">
        <v>115</v>
      </c>
      <c r="AF103" t="s">
        <v>116</v>
      </c>
      <c r="AG103" t="s">
        <v>117</v>
      </c>
      <c r="AH103" t="s">
        <v>118</v>
      </c>
      <c r="AI103" t="s">
        <v>119</v>
      </c>
      <c r="AJ103" t="s">
        <v>120</v>
      </c>
      <c r="AK103" t="s">
        <v>121</v>
      </c>
      <c r="AL103" t="s">
        <v>127</v>
      </c>
    </row>
    <row r="104" spans="22:38" x14ac:dyDescent="0.35">
      <c r="V104">
        <v>41</v>
      </c>
      <c r="W104" s="1" t="s">
        <v>137</v>
      </c>
      <c r="X104">
        <v>100</v>
      </c>
      <c r="Y104" t="b">
        <v>1</v>
      </c>
      <c r="Z104">
        <v>100</v>
      </c>
      <c r="AA104" t="b">
        <v>0</v>
      </c>
      <c r="AB104">
        <v>95.29</v>
      </c>
      <c r="AC104" t="s">
        <v>125</v>
      </c>
      <c r="AD104" t="s">
        <v>126</v>
      </c>
      <c r="AE104" t="s">
        <v>115</v>
      </c>
      <c r="AF104" t="s">
        <v>116</v>
      </c>
      <c r="AG104" t="s">
        <v>117</v>
      </c>
      <c r="AH104" t="s">
        <v>118</v>
      </c>
      <c r="AI104" t="s">
        <v>119</v>
      </c>
      <c r="AJ104" t="s">
        <v>120</v>
      </c>
      <c r="AK104" t="s">
        <v>121</v>
      </c>
      <c r="AL104" t="s">
        <v>127</v>
      </c>
    </row>
    <row r="105" spans="22:38" x14ac:dyDescent="0.35">
      <c r="V105">
        <v>42</v>
      </c>
      <c r="W105" s="1" t="s">
        <v>138</v>
      </c>
      <c r="X105">
        <v>100</v>
      </c>
      <c r="Y105" t="b">
        <v>1</v>
      </c>
      <c r="Z105">
        <v>100</v>
      </c>
      <c r="AA105" t="b">
        <v>0</v>
      </c>
      <c r="AB105">
        <v>94.83</v>
      </c>
      <c r="AC105" t="s">
        <v>125</v>
      </c>
      <c r="AD105" t="s">
        <v>126</v>
      </c>
      <c r="AE105" t="s">
        <v>115</v>
      </c>
      <c r="AF105" t="s">
        <v>116</v>
      </c>
      <c r="AG105" t="s">
        <v>117</v>
      </c>
      <c r="AH105" t="s">
        <v>118</v>
      </c>
      <c r="AI105" t="s">
        <v>119</v>
      </c>
      <c r="AJ105" t="s">
        <v>120</v>
      </c>
      <c r="AK105" t="s">
        <v>121</v>
      </c>
      <c r="AL105" t="s">
        <v>127</v>
      </c>
    </row>
    <row r="106" spans="22:38" x14ac:dyDescent="0.35">
      <c r="V106">
        <v>43</v>
      </c>
      <c r="W106" s="1" t="s">
        <v>139</v>
      </c>
      <c r="X106">
        <v>100</v>
      </c>
      <c r="Y106" t="b">
        <v>1</v>
      </c>
      <c r="Z106">
        <v>100</v>
      </c>
      <c r="AA106" t="b">
        <v>0</v>
      </c>
      <c r="AB106">
        <v>96.1</v>
      </c>
      <c r="AC106" t="s">
        <v>125</v>
      </c>
      <c r="AD106" t="s">
        <v>126</v>
      </c>
      <c r="AE106" t="s">
        <v>115</v>
      </c>
      <c r="AF106" t="s">
        <v>116</v>
      </c>
      <c r="AG106" t="s">
        <v>117</v>
      </c>
      <c r="AH106" t="s">
        <v>118</v>
      </c>
      <c r="AI106" t="s">
        <v>119</v>
      </c>
      <c r="AJ106" t="s">
        <v>120</v>
      </c>
      <c r="AK106" t="s">
        <v>121</v>
      </c>
      <c r="AL106" t="s">
        <v>127</v>
      </c>
    </row>
    <row r="107" spans="22:38" x14ac:dyDescent="0.35">
      <c r="V107">
        <v>44</v>
      </c>
      <c r="W107" s="1" t="s">
        <v>140</v>
      </c>
      <c r="X107">
        <v>100</v>
      </c>
      <c r="Y107" t="b">
        <v>1</v>
      </c>
      <c r="Z107">
        <v>100</v>
      </c>
      <c r="AA107" t="b">
        <v>0</v>
      </c>
      <c r="AB107">
        <v>94.81</v>
      </c>
      <c r="AC107" t="s">
        <v>125</v>
      </c>
      <c r="AD107" t="s">
        <v>126</v>
      </c>
      <c r="AE107" t="s">
        <v>115</v>
      </c>
      <c r="AF107" t="s">
        <v>116</v>
      </c>
      <c r="AG107" t="s">
        <v>117</v>
      </c>
      <c r="AH107" t="s">
        <v>118</v>
      </c>
      <c r="AI107" t="s">
        <v>119</v>
      </c>
      <c r="AJ107" t="s">
        <v>120</v>
      </c>
      <c r="AK107" t="s">
        <v>121</v>
      </c>
      <c r="AL107" t="s">
        <v>127</v>
      </c>
    </row>
    <row r="108" spans="22:38" x14ac:dyDescent="0.35">
      <c r="V108">
        <v>45</v>
      </c>
      <c r="W108" s="1" t="s">
        <v>141</v>
      </c>
      <c r="X108">
        <v>100</v>
      </c>
      <c r="Y108" t="b">
        <v>1</v>
      </c>
      <c r="Z108">
        <v>100</v>
      </c>
      <c r="AA108" t="b">
        <v>0</v>
      </c>
      <c r="AB108">
        <v>93.95</v>
      </c>
      <c r="AC108" t="s">
        <v>125</v>
      </c>
      <c r="AD108" t="s">
        <v>126</v>
      </c>
      <c r="AE108" t="s">
        <v>115</v>
      </c>
      <c r="AF108" t="s">
        <v>116</v>
      </c>
      <c r="AG108" t="s">
        <v>117</v>
      </c>
      <c r="AH108" t="s">
        <v>118</v>
      </c>
      <c r="AI108" t="s">
        <v>119</v>
      </c>
      <c r="AJ108" t="s">
        <v>120</v>
      </c>
      <c r="AK108" t="s">
        <v>121</v>
      </c>
      <c r="AL108" t="s">
        <v>127</v>
      </c>
    </row>
    <row r="109" spans="22:38" x14ac:dyDescent="0.35">
      <c r="V109">
        <v>46</v>
      </c>
      <c r="W109" s="1" t="s">
        <v>142</v>
      </c>
      <c r="X109">
        <v>100</v>
      </c>
      <c r="Y109" t="b">
        <v>1</v>
      </c>
      <c r="Z109">
        <v>100</v>
      </c>
      <c r="AA109" t="b">
        <v>0</v>
      </c>
      <c r="AB109">
        <v>93.1</v>
      </c>
      <c r="AC109" t="s">
        <v>125</v>
      </c>
      <c r="AD109" t="s">
        <v>126</v>
      </c>
      <c r="AE109" t="s">
        <v>115</v>
      </c>
      <c r="AF109" t="s">
        <v>116</v>
      </c>
      <c r="AG109" t="s">
        <v>117</v>
      </c>
      <c r="AH109" t="s">
        <v>118</v>
      </c>
      <c r="AI109" t="s">
        <v>119</v>
      </c>
      <c r="AJ109" t="s">
        <v>120</v>
      </c>
      <c r="AK109" t="s">
        <v>121</v>
      </c>
      <c r="AL109" t="s">
        <v>127</v>
      </c>
    </row>
    <row r="110" spans="22:38" x14ac:dyDescent="0.35">
      <c r="V110">
        <v>47</v>
      </c>
      <c r="W110" s="1" t="s">
        <v>143</v>
      </c>
      <c r="X110">
        <v>100</v>
      </c>
      <c r="Y110" t="b">
        <v>1</v>
      </c>
      <c r="Z110">
        <v>100</v>
      </c>
      <c r="AA110" t="b">
        <v>0</v>
      </c>
      <c r="AB110">
        <v>96.1</v>
      </c>
      <c r="AC110" t="s">
        <v>125</v>
      </c>
      <c r="AD110" t="s">
        <v>126</v>
      </c>
      <c r="AE110" t="s">
        <v>115</v>
      </c>
      <c r="AF110" t="s">
        <v>116</v>
      </c>
      <c r="AG110" t="s">
        <v>117</v>
      </c>
      <c r="AH110" t="s">
        <v>118</v>
      </c>
      <c r="AI110" t="s">
        <v>119</v>
      </c>
      <c r="AJ110" t="s">
        <v>120</v>
      </c>
      <c r="AK110" t="s">
        <v>121</v>
      </c>
      <c r="AL110" t="s">
        <v>127</v>
      </c>
    </row>
    <row r="111" spans="22:38" x14ac:dyDescent="0.35">
      <c r="V111">
        <v>48</v>
      </c>
      <c r="W111" s="1" t="s">
        <v>144</v>
      </c>
      <c r="X111">
        <v>100</v>
      </c>
      <c r="Y111" t="b">
        <v>1</v>
      </c>
      <c r="Z111">
        <v>100</v>
      </c>
      <c r="AA111" t="b">
        <v>0</v>
      </c>
      <c r="AB111">
        <v>94.33</v>
      </c>
      <c r="AC111" t="s">
        <v>125</v>
      </c>
      <c r="AD111" t="s">
        <v>126</v>
      </c>
      <c r="AE111" t="s">
        <v>115</v>
      </c>
      <c r="AF111" t="s">
        <v>116</v>
      </c>
      <c r="AG111" t="s">
        <v>117</v>
      </c>
      <c r="AH111" t="s">
        <v>118</v>
      </c>
      <c r="AI111" t="s">
        <v>119</v>
      </c>
      <c r="AJ111" t="s">
        <v>120</v>
      </c>
      <c r="AK111" t="s">
        <v>121</v>
      </c>
      <c r="AL111" t="s">
        <v>127</v>
      </c>
    </row>
    <row r="112" spans="22:38" x14ac:dyDescent="0.35">
      <c r="V112">
        <v>49</v>
      </c>
      <c r="W112" s="1" t="s">
        <v>145</v>
      </c>
      <c r="X112">
        <v>100</v>
      </c>
      <c r="Y112" t="b">
        <v>1</v>
      </c>
      <c r="Z112">
        <v>100</v>
      </c>
      <c r="AA112" t="b">
        <v>0</v>
      </c>
      <c r="AB112">
        <v>92.11</v>
      </c>
      <c r="AC112" t="s">
        <v>125</v>
      </c>
      <c r="AD112" t="s">
        <v>126</v>
      </c>
      <c r="AE112" t="s">
        <v>115</v>
      </c>
      <c r="AF112" t="s">
        <v>116</v>
      </c>
      <c r="AG112" t="s">
        <v>117</v>
      </c>
      <c r="AH112" t="s">
        <v>118</v>
      </c>
      <c r="AI112" t="s">
        <v>119</v>
      </c>
      <c r="AJ112" t="s">
        <v>120</v>
      </c>
      <c r="AK112" t="s">
        <v>121</v>
      </c>
      <c r="AL112" t="s">
        <v>127</v>
      </c>
    </row>
    <row r="113" spans="22:38" x14ac:dyDescent="0.35">
      <c r="V113">
        <v>50</v>
      </c>
      <c r="W113" s="1" t="s">
        <v>146</v>
      </c>
      <c r="X113">
        <v>100</v>
      </c>
      <c r="Y113" t="b">
        <v>1</v>
      </c>
      <c r="Z113">
        <v>100</v>
      </c>
      <c r="AA113" t="b">
        <v>0</v>
      </c>
      <c r="AB113">
        <v>96.1</v>
      </c>
      <c r="AC113" t="s">
        <v>125</v>
      </c>
      <c r="AD113" t="s">
        <v>126</v>
      </c>
      <c r="AE113" t="s">
        <v>115</v>
      </c>
      <c r="AF113" t="s">
        <v>116</v>
      </c>
      <c r="AG113" t="s">
        <v>117</v>
      </c>
      <c r="AH113" t="s">
        <v>118</v>
      </c>
      <c r="AI113" t="s">
        <v>119</v>
      </c>
      <c r="AJ113" t="s">
        <v>120</v>
      </c>
      <c r="AK113" t="s">
        <v>121</v>
      </c>
      <c r="AL113" t="s">
        <v>127</v>
      </c>
    </row>
    <row r="114" spans="22:38" x14ac:dyDescent="0.35">
      <c r="V114">
        <v>51</v>
      </c>
      <c r="W114" s="1" t="s">
        <v>147</v>
      </c>
      <c r="X114">
        <v>100</v>
      </c>
      <c r="Y114" t="b">
        <v>1</v>
      </c>
      <c r="Z114">
        <v>100</v>
      </c>
      <c r="AA114" t="b">
        <v>0</v>
      </c>
      <c r="AB114">
        <v>94.8</v>
      </c>
      <c r="AC114" t="s">
        <v>125</v>
      </c>
      <c r="AD114" t="s">
        <v>126</v>
      </c>
      <c r="AE114" t="s">
        <v>115</v>
      </c>
      <c r="AF114" t="s">
        <v>116</v>
      </c>
      <c r="AG114" t="s">
        <v>117</v>
      </c>
      <c r="AH114" t="s">
        <v>118</v>
      </c>
      <c r="AI114" t="s">
        <v>119</v>
      </c>
      <c r="AJ114" t="s">
        <v>120</v>
      </c>
      <c r="AK114" t="s">
        <v>121</v>
      </c>
      <c r="AL114" t="s">
        <v>127</v>
      </c>
    </row>
    <row r="115" spans="22:38" x14ac:dyDescent="0.35">
      <c r="V115">
        <v>52</v>
      </c>
      <c r="W115" s="1" t="s">
        <v>148</v>
      </c>
      <c r="X115">
        <v>100</v>
      </c>
      <c r="Y115" t="b">
        <v>1</v>
      </c>
      <c r="Z115">
        <v>100</v>
      </c>
      <c r="AA115" t="b">
        <v>0</v>
      </c>
      <c r="AB115">
        <v>96.1</v>
      </c>
      <c r="AC115" t="s">
        <v>125</v>
      </c>
      <c r="AD115" t="s">
        <v>126</v>
      </c>
      <c r="AE115" t="s">
        <v>115</v>
      </c>
      <c r="AF115" t="s">
        <v>116</v>
      </c>
      <c r="AG115" t="s">
        <v>117</v>
      </c>
      <c r="AH115" t="s">
        <v>118</v>
      </c>
      <c r="AI115" t="s">
        <v>119</v>
      </c>
      <c r="AJ115" t="s">
        <v>120</v>
      </c>
      <c r="AK115" t="s">
        <v>121</v>
      </c>
      <c r="AL115" t="s">
        <v>127</v>
      </c>
    </row>
    <row r="116" spans="22:38" x14ac:dyDescent="0.35">
      <c r="V116">
        <v>53</v>
      </c>
      <c r="W116" s="1" t="s">
        <v>149</v>
      </c>
      <c r="X116">
        <v>100</v>
      </c>
      <c r="Y116" t="b">
        <v>1</v>
      </c>
      <c r="Z116">
        <v>100</v>
      </c>
      <c r="AA116" t="b">
        <v>0</v>
      </c>
      <c r="AB116">
        <v>94.06</v>
      </c>
      <c r="AC116" t="s">
        <v>125</v>
      </c>
      <c r="AD116" t="s">
        <v>126</v>
      </c>
      <c r="AE116" t="s">
        <v>115</v>
      </c>
      <c r="AF116" t="s">
        <v>116</v>
      </c>
      <c r="AG116" t="s">
        <v>117</v>
      </c>
      <c r="AH116" t="s">
        <v>118</v>
      </c>
      <c r="AI116" t="s">
        <v>119</v>
      </c>
      <c r="AJ116" t="s">
        <v>120</v>
      </c>
      <c r="AK116" t="s">
        <v>121</v>
      </c>
      <c r="AL116" t="s">
        <v>127</v>
      </c>
    </row>
    <row r="117" spans="22:38" x14ac:dyDescent="0.35">
      <c r="V117">
        <v>54</v>
      </c>
      <c r="W117" s="1" t="s">
        <v>150</v>
      </c>
      <c r="X117">
        <v>100</v>
      </c>
      <c r="Y117" t="b">
        <v>1</v>
      </c>
      <c r="Z117">
        <v>100</v>
      </c>
      <c r="AA117" t="b">
        <v>0</v>
      </c>
      <c r="AB117">
        <v>96.1</v>
      </c>
      <c r="AC117" t="s">
        <v>125</v>
      </c>
      <c r="AD117" t="s">
        <v>126</v>
      </c>
      <c r="AE117" t="s">
        <v>115</v>
      </c>
      <c r="AF117" t="s">
        <v>116</v>
      </c>
      <c r="AG117" t="s">
        <v>117</v>
      </c>
      <c r="AH117" t="s">
        <v>118</v>
      </c>
      <c r="AI117" t="s">
        <v>119</v>
      </c>
      <c r="AJ117" t="s">
        <v>120</v>
      </c>
      <c r="AK117" t="s">
        <v>121</v>
      </c>
      <c r="AL117" t="s">
        <v>127</v>
      </c>
    </row>
    <row r="118" spans="22:38" x14ac:dyDescent="0.35">
      <c r="V118">
        <v>55</v>
      </c>
      <c r="W118" s="1" t="s">
        <v>151</v>
      </c>
      <c r="X118">
        <v>100</v>
      </c>
      <c r="Y118" t="b">
        <v>1</v>
      </c>
      <c r="Z118">
        <v>100</v>
      </c>
      <c r="AA118" t="b">
        <v>0</v>
      </c>
      <c r="AB118">
        <v>93.24</v>
      </c>
      <c r="AC118" t="s">
        <v>125</v>
      </c>
      <c r="AD118" t="s">
        <v>126</v>
      </c>
      <c r="AE118" t="s">
        <v>115</v>
      </c>
      <c r="AF118" t="s">
        <v>116</v>
      </c>
      <c r="AG118" t="s">
        <v>117</v>
      </c>
      <c r="AH118" t="s">
        <v>118</v>
      </c>
      <c r="AI118" t="s">
        <v>119</v>
      </c>
      <c r="AJ118" t="s">
        <v>120</v>
      </c>
      <c r="AK118" t="s">
        <v>121</v>
      </c>
      <c r="AL118" t="s">
        <v>127</v>
      </c>
    </row>
    <row r="119" spans="22:38" x14ac:dyDescent="0.35">
      <c r="V119">
        <v>56</v>
      </c>
      <c r="W119" s="1" t="s">
        <v>152</v>
      </c>
      <c r="X119">
        <v>100</v>
      </c>
      <c r="Y119" t="b">
        <v>1</v>
      </c>
      <c r="Z119">
        <v>100</v>
      </c>
      <c r="AA119" t="b">
        <v>0</v>
      </c>
      <c r="AB119">
        <v>96.1</v>
      </c>
      <c r="AC119" t="s">
        <v>125</v>
      </c>
      <c r="AD119" t="s">
        <v>126</v>
      </c>
      <c r="AE119" t="s">
        <v>115</v>
      </c>
      <c r="AF119" t="s">
        <v>116</v>
      </c>
      <c r="AG119" t="s">
        <v>117</v>
      </c>
      <c r="AH119" t="s">
        <v>118</v>
      </c>
      <c r="AI119" t="s">
        <v>119</v>
      </c>
      <c r="AJ119" t="s">
        <v>120</v>
      </c>
      <c r="AK119" t="s">
        <v>121</v>
      </c>
      <c r="AL119" t="s">
        <v>127</v>
      </c>
    </row>
    <row r="120" spans="22:38" x14ac:dyDescent="0.35">
      <c r="V120">
        <v>57</v>
      </c>
      <c r="W120" s="1" t="s">
        <v>153</v>
      </c>
      <c r="X120">
        <v>100</v>
      </c>
      <c r="Y120" t="b">
        <v>1</v>
      </c>
      <c r="Z120">
        <v>100</v>
      </c>
      <c r="AA120" t="b">
        <v>0</v>
      </c>
      <c r="AB120">
        <v>96.1</v>
      </c>
      <c r="AC120" t="s">
        <v>125</v>
      </c>
      <c r="AD120" t="s">
        <v>126</v>
      </c>
      <c r="AE120" t="s">
        <v>115</v>
      </c>
      <c r="AF120" t="s">
        <v>116</v>
      </c>
      <c r="AG120" t="s">
        <v>117</v>
      </c>
      <c r="AH120" t="s">
        <v>118</v>
      </c>
      <c r="AI120" t="s">
        <v>119</v>
      </c>
      <c r="AJ120" t="s">
        <v>120</v>
      </c>
      <c r="AK120" t="s">
        <v>121</v>
      </c>
      <c r="AL120" t="s">
        <v>127</v>
      </c>
    </row>
    <row r="121" spans="22:38" x14ac:dyDescent="0.35">
      <c r="V121">
        <v>58</v>
      </c>
      <c r="W121" s="1" t="s">
        <v>154</v>
      </c>
      <c r="X121">
        <v>100</v>
      </c>
      <c r="Y121" t="b">
        <v>1</v>
      </c>
      <c r="Z121">
        <v>100</v>
      </c>
      <c r="AA121" t="b">
        <v>0</v>
      </c>
      <c r="AB121">
        <v>96.1</v>
      </c>
      <c r="AC121" t="s">
        <v>125</v>
      </c>
      <c r="AD121" t="s">
        <v>126</v>
      </c>
      <c r="AE121" t="s">
        <v>115</v>
      </c>
      <c r="AF121" t="s">
        <v>116</v>
      </c>
      <c r="AG121" t="s">
        <v>117</v>
      </c>
      <c r="AH121" t="s">
        <v>118</v>
      </c>
      <c r="AI121" t="s">
        <v>119</v>
      </c>
      <c r="AJ121" t="s">
        <v>120</v>
      </c>
      <c r="AK121" t="s">
        <v>121</v>
      </c>
      <c r="AL121" t="s">
        <v>127</v>
      </c>
    </row>
    <row r="122" spans="22:38" x14ac:dyDescent="0.35">
      <c r="V122">
        <v>59</v>
      </c>
      <c r="W122" s="1" t="s">
        <v>155</v>
      </c>
      <c r="X122">
        <v>100</v>
      </c>
      <c r="Y122" t="b">
        <v>1</v>
      </c>
      <c r="Z122">
        <v>100</v>
      </c>
      <c r="AA122" t="b">
        <v>0</v>
      </c>
      <c r="AB122">
        <v>94.92</v>
      </c>
      <c r="AC122" t="s">
        <v>125</v>
      </c>
      <c r="AD122" t="s">
        <v>126</v>
      </c>
      <c r="AE122" t="s">
        <v>115</v>
      </c>
      <c r="AF122" t="s">
        <v>116</v>
      </c>
      <c r="AG122" t="s">
        <v>117</v>
      </c>
      <c r="AH122" t="s">
        <v>118</v>
      </c>
      <c r="AI122" t="s">
        <v>119</v>
      </c>
      <c r="AJ122" t="s">
        <v>120</v>
      </c>
      <c r="AK122" t="s">
        <v>121</v>
      </c>
      <c r="AL122" t="s">
        <v>127</v>
      </c>
    </row>
    <row r="123" spans="22:38" x14ac:dyDescent="0.35">
      <c r="V123">
        <v>60</v>
      </c>
      <c r="W123" s="1" t="s">
        <v>156</v>
      </c>
      <c r="X123">
        <v>100</v>
      </c>
      <c r="Y123" t="b">
        <v>1</v>
      </c>
      <c r="Z123">
        <v>100</v>
      </c>
      <c r="AA123" t="b">
        <v>0</v>
      </c>
      <c r="AB123">
        <v>94.2</v>
      </c>
      <c r="AC123" t="s">
        <v>125</v>
      </c>
      <c r="AD123" t="s">
        <v>126</v>
      </c>
      <c r="AE123" t="s">
        <v>115</v>
      </c>
      <c r="AF123" t="s">
        <v>116</v>
      </c>
      <c r="AG123" t="s">
        <v>117</v>
      </c>
      <c r="AH123" t="s">
        <v>118</v>
      </c>
      <c r="AI123" t="s">
        <v>119</v>
      </c>
      <c r="AJ123" t="s">
        <v>120</v>
      </c>
      <c r="AK123" t="s">
        <v>121</v>
      </c>
      <c r="AL123" t="s">
        <v>127</v>
      </c>
    </row>
    <row r="124" spans="22:38" x14ac:dyDescent="0.35">
      <c r="V124">
        <v>61</v>
      </c>
      <c r="W124" s="1" t="s">
        <v>157</v>
      </c>
      <c r="X124">
        <v>100</v>
      </c>
      <c r="Y124" t="b">
        <v>1</v>
      </c>
      <c r="Z124">
        <v>100</v>
      </c>
      <c r="AA124" t="b">
        <v>0</v>
      </c>
      <c r="AB124">
        <v>93.51</v>
      </c>
      <c r="AC124" t="s">
        <v>125</v>
      </c>
      <c r="AD124" t="s">
        <v>126</v>
      </c>
      <c r="AE124" t="s">
        <v>115</v>
      </c>
      <c r="AF124" t="s">
        <v>116</v>
      </c>
      <c r="AG124" t="s">
        <v>117</v>
      </c>
      <c r="AH124" t="s">
        <v>118</v>
      </c>
      <c r="AI124" t="s">
        <v>119</v>
      </c>
      <c r="AJ124" t="s">
        <v>120</v>
      </c>
      <c r="AK124" t="s">
        <v>121</v>
      </c>
      <c r="AL124" t="s">
        <v>127</v>
      </c>
    </row>
    <row r="125" spans="22:38" x14ac:dyDescent="0.35">
      <c r="V125">
        <v>62</v>
      </c>
      <c r="W125" s="1" t="s">
        <v>158</v>
      </c>
      <c r="X125">
        <v>100</v>
      </c>
      <c r="Y125" t="b">
        <v>1</v>
      </c>
      <c r="Z125">
        <v>100</v>
      </c>
      <c r="AA125" t="b">
        <v>0</v>
      </c>
      <c r="AB125">
        <v>92.32</v>
      </c>
      <c r="AC125" t="s">
        <v>125</v>
      </c>
      <c r="AD125" t="s">
        <v>126</v>
      </c>
      <c r="AE125" t="s">
        <v>115</v>
      </c>
      <c r="AF125" t="s">
        <v>116</v>
      </c>
      <c r="AG125" t="s">
        <v>117</v>
      </c>
      <c r="AH125" t="s">
        <v>118</v>
      </c>
      <c r="AI125" t="s">
        <v>119</v>
      </c>
      <c r="AJ125" t="s">
        <v>120</v>
      </c>
      <c r="AK125" t="s">
        <v>121</v>
      </c>
      <c r="AL125" t="s">
        <v>127</v>
      </c>
    </row>
    <row r="126" spans="22:38" x14ac:dyDescent="0.35">
      <c r="V126">
        <v>63</v>
      </c>
      <c r="W126" s="1" t="s">
        <v>159</v>
      </c>
      <c r="X126">
        <v>100</v>
      </c>
      <c r="Y126" t="b">
        <v>1</v>
      </c>
      <c r="Z126">
        <v>100</v>
      </c>
      <c r="AA126" t="b">
        <v>0</v>
      </c>
      <c r="AB126">
        <v>91.09</v>
      </c>
      <c r="AC126" t="s">
        <v>125</v>
      </c>
      <c r="AD126" t="s">
        <v>126</v>
      </c>
      <c r="AE126" t="s">
        <v>115</v>
      </c>
      <c r="AF126" t="s">
        <v>116</v>
      </c>
      <c r="AG126" t="s">
        <v>117</v>
      </c>
      <c r="AH126" t="s">
        <v>118</v>
      </c>
      <c r="AI126" t="s">
        <v>119</v>
      </c>
      <c r="AJ126" t="s">
        <v>120</v>
      </c>
      <c r="AK126" t="s">
        <v>121</v>
      </c>
      <c r="AL126" t="s">
        <v>127</v>
      </c>
    </row>
    <row r="127" spans="22:38" x14ac:dyDescent="0.35">
      <c r="V127">
        <v>64</v>
      </c>
      <c r="W127" s="1" t="s">
        <v>160</v>
      </c>
      <c r="X127">
        <v>100</v>
      </c>
      <c r="Y127" t="b">
        <v>1</v>
      </c>
      <c r="Z127">
        <v>100</v>
      </c>
      <c r="AA127" t="b">
        <v>0</v>
      </c>
      <c r="AB127">
        <v>87.58</v>
      </c>
      <c r="AC127" t="s">
        <v>125</v>
      </c>
      <c r="AD127" t="s">
        <v>126</v>
      </c>
      <c r="AE127" t="s">
        <v>115</v>
      </c>
      <c r="AF127" t="s">
        <v>116</v>
      </c>
      <c r="AG127" t="s">
        <v>117</v>
      </c>
      <c r="AH127" t="s">
        <v>118</v>
      </c>
      <c r="AI127" t="s">
        <v>119</v>
      </c>
      <c r="AJ127" t="s">
        <v>120</v>
      </c>
      <c r="AK127" t="s">
        <v>121</v>
      </c>
      <c r="AL127" t="s">
        <v>127</v>
      </c>
    </row>
    <row r="128" spans="22:38" x14ac:dyDescent="0.35">
      <c r="V128">
        <v>65</v>
      </c>
      <c r="W128" s="1" t="s">
        <v>161</v>
      </c>
      <c r="X128">
        <v>100</v>
      </c>
      <c r="Y128" t="b">
        <v>1</v>
      </c>
      <c r="Z128">
        <v>100</v>
      </c>
      <c r="AA128" t="b">
        <v>0</v>
      </c>
      <c r="AB128">
        <v>85.17</v>
      </c>
      <c r="AC128" t="s">
        <v>125</v>
      </c>
      <c r="AD128" t="s">
        <v>126</v>
      </c>
      <c r="AE128" t="s">
        <v>115</v>
      </c>
      <c r="AF128" t="s">
        <v>116</v>
      </c>
      <c r="AG128" t="s">
        <v>117</v>
      </c>
      <c r="AH128" t="s">
        <v>118</v>
      </c>
      <c r="AI128" t="s">
        <v>119</v>
      </c>
      <c r="AJ128" t="s">
        <v>120</v>
      </c>
      <c r="AK128" t="s">
        <v>121</v>
      </c>
      <c r="AL128" t="s">
        <v>127</v>
      </c>
    </row>
    <row r="129" spans="22:38" x14ac:dyDescent="0.35">
      <c r="V129">
        <v>66</v>
      </c>
      <c r="W129" s="1" t="s">
        <v>162</v>
      </c>
      <c r="X129">
        <v>100</v>
      </c>
      <c r="Y129" t="b">
        <v>1</v>
      </c>
      <c r="Z129">
        <v>100</v>
      </c>
      <c r="AA129" t="b">
        <v>0</v>
      </c>
      <c r="AB129">
        <v>83.45</v>
      </c>
      <c r="AC129" t="s">
        <v>125</v>
      </c>
      <c r="AD129" t="s">
        <v>126</v>
      </c>
      <c r="AE129" t="s">
        <v>115</v>
      </c>
      <c r="AF129" t="s">
        <v>116</v>
      </c>
      <c r="AG129" t="s">
        <v>117</v>
      </c>
      <c r="AH129" t="s">
        <v>118</v>
      </c>
      <c r="AI129" t="s">
        <v>119</v>
      </c>
      <c r="AJ129" t="s">
        <v>120</v>
      </c>
      <c r="AK129" t="s">
        <v>121</v>
      </c>
      <c r="AL129" t="s">
        <v>127</v>
      </c>
    </row>
    <row r="130" spans="22:38" x14ac:dyDescent="0.35">
      <c r="V130">
        <v>67</v>
      </c>
      <c r="W130" s="1" t="s">
        <v>163</v>
      </c>
      <c r="X130">
        <v>100</v>
      </c>
      <c r="Y130" t="b">
        <v>1</v>
      </c>
      <c r="Z130">
        <v>100</v>
      </c>
      <c r="AA130" t="b">
        <v>0</v>
      </c>
      <c r="AB130">
        <v>96.1</v>
      </c>
      <c r="AC130" t="s">
        <v>125</v>
      </c>
      <c r="AD130" t="s">
        <v>126</v>
      </c>
      <c r="AE130" t="s">
        <v>115</v>
      </c>
      <c r="AF130" t="s">
        <v>116</v>
      </c>
      <c r="AG130" t="s">
        <v>117</v>
      </c>
      <c r="AH130" t="s">
        <v>118</v>
      </c>
      <c r="AI130" t="s">
        <v>119</v>
      </c>
      <c r="AJ130" t="s">
        <v>120</v>
      </c>
      <c r="AK130" t="s">
        <v>121</v>
      </c>
      <c r="AL130" t="s">
        <v>127</v>
      </c>
    </row>
    <row r="131" spans="22:38" x14ac:dyDescent="0.35">
      <c r="V131">
        <v>68</v>
      </c>
      <c r="W131" s="1" t="s">
        <v>164</v>
      </c>
      <c r="X131">
        <v>100</v>
      </c>
      <c r="Y131" t="b">
        <v>1</v>
      </c>
      <c r="Z131">
        <v>100</v>
      </c>
      <c r="AA131" t="b">
        <v>0</v>
      </c>
      <c r="AB131">
        <v>82.76</v>
      </c>
      <c r="AC131" t="s">
        <v>125</v>
      </c>
      <c r="AD131" t="s">
        <v>126</v>
      </c>
      <c r="AE131" t="s">
        <v>115</v>
      </c>
      <c r="AF131" t="s">
        <v>116</v>
      </c>
      <c r="AG131" t="s">
        <v>117</v>
      </c>
      <c r="AH131" t="s">
        <v>118</v>
      </c>
      <c r="AI131" t="s">
        <v>119</v>
      </c>
      <c r="AJ131" t="s">
        <v>120</v>
      </c>
      <c r="AK131" t="s">
        <v>121</v>
      </c>
      <c r="AL131" t="s">
        <v>127</v>
      </c>
    </row>
    <row r="132" spans="22:38" x14ac:dyDescent="0.35">
      <c r="V132">
        <v>69</v>
      </c>
      <c r="W132" s="1" t="s">
        <v>165</v>
      </c>
      <c r="X132">
        <v>100</v>
      </c>
      <c r="Y132" t="b">
        <v>1</v>
      </c>
      <c r="Z132">
        <v>100</v>
      </c>
      <c r="AA132" t="b">
        <v>0</v>
      </c>
      <c r="AB132">
        <v>96.1</v>
      </c>
      <c r="AC132" t="s">
        <v>125</v>
      </c>
      <c r="AD132" t="s">
        <v>126</v>
      </c>
      <c r="AE132" t="s">
        <v>115</v>
      </c>
      <c r="AF132" t="s">
        <v>116</v>
      </c>
      <c r="AG132" t="s">
        <v>117</v>
      </c>
      <c r="AH132" t="s">
        <v>118</v>
      </c>
      <c r="AI132" t="s">
        <v>119</v>
      </c>
      <c r="AJ132" t="s">
        <v>120</v>
      </c>
      <c r="AK132" t="s">
        <v>121</v>
      </c>
      <c r="AL132" t="s">
        <v>127</v>
      </c>
    </row>
    <row r="133" spans="22:38" x14ac:dyDescent="0.35">
      <c r="V133">
        <v>70</v>
      </c>
      <c r="W133" s="1" t="s">
        <v>166</v>
      </c>
      <c r="X133">
        <v>100</v>
      </c>
      <c r="Y133" t="b">
        <v>1</v>
      </c>
      <c r="Z133">
        <v>100</v>
      </c>
      <c r="AA133" t="b">
        <v>0</v>
      </c>
      <c r="AB133">
        <v>96.1</v>
      </c>
      <c r="AC133" t="s">
        <v>125</v>
      </c>
      <c r="AD133" t="s">
        <v>126</v>
      </c>
      <c r="AE133" t="s">
        <v>115</v>
      </c>
      <c r="AF133" t="s">
        <v>116</v>
      </c>
      <c r="AG133" t="s">
        <v>117</v>
      </c>
      <c r="AH133" t="s">
        <v>118</v>
      </c>
      <c r="AI133" t="s">
        <v>119</v>
      </c>
      <c r="AJ133" t="s">
        <v>120</v>
      </c>
      <c r="AK133" t="s">
        <v>121</v>
      </c>
      <c r="AL133" t="s">
        <v>127</v>
      </c>
    </row>
    <row r="134" spans="22:38" x14ac:dyDescent="0.35">
      <c r="V134">
        <v>71</v>
      </c>
      <c r="W134" s="1" t="s">
        <v>167</v>
      </c>
      <c r="X134">
        <v>100</v>
      </c>
      <c r="Y134" t="b">
        <v>1</v>
      </c>
      <c r="Z134">
        <v>100</v>
      </c>
      <c r="AA134" t="b">
        <v>0</v>
      </c>
      <c r="AB134">
        <v>94.11</v>
      </c>
      <c r="AC134" t="s">
        <v>125</v>
      </c>
      <c r="AD134" t="s">
        <v>126</v>
      </c>
      <c r="AE134" t="s">
        <v>115</v>
      </c>
      <c r="AF134" t="s">
        <v>116</v>
      </c>
      <c r="AG134" t="s">
        <v>117</v>
      </c>
      <c r="AH134" t="s">
        <v>118</v>
      </c>
      <c r="AI134" t="s">
        <v>119</v>
      </c>
      <c r="AJ134" t="s">
        <v>120</v>
      </c>
      <c r="AK134" t="s">
        <v>121</v>
      </c>
      <c r="AL134" t="s">
        <v>127</v>
      </c>
    </row>
    <row r="135" spans="22:38" x14ac:dyDescent="0.35">
      <c r="V135">
        <v>72</v>
      </c>
      <c r="W135" s="1" t="s">
        <v>168</v>
      </c>
      <c r="X135">
        <v>100</v>
      </c>
      <c r="Y135" t="b">
        <v>1</v>
      </c>
      <c r="Z135">
        <v>100</v>
      </c>
      <c r="AA135" t="b">
        <v>0</v>
      </c>
      <c r="AB135">
        <v>92.19</v>
      </c>
      <c r="AC135" t="s">
        <v>125</v>
      </c>
      <c r="AD135" t="s">
        <v>126</v>
      </c>
      <c r="AE135" t="s">
        <v>115</v>
      </c>
      <c r="AF135" t="s">
        <v>116</v>
      </c>
      <c r="AG135" t="s">
        <v>117</v>
      </c>
      <c r="AH135" t="s">
        <v>118</v>
      </c>
      <c r="AI135" t="s">
        <v>119</v>
      </c>
      <c r="AJ135" t="s">
        <v>120</v>
      </c>
      <c r="AK135" t="s">
        <v>121</v>
      </c>
      <c r="AL135" t="s">
        <v>127</v>
      </c>
    </row>
    <row r="136" spans="22:38" x14ac:dyDescent="0.35">
      <c r="V136">
        <v>73</v>
      </c>
      <c r="W136" s="1" t="s">
        <v>169</v>
      </c>
      <c r="X136">
        <v>100</v>
      </c>
      <c r="Y136" t="b">
        <v>1</v>
      </c>
      <c r="Z136">
        <v>100</v>
      </c>
      <c r="AA136" t="b">
        <v>0</v>
      </c>
      <c r="AB136">
        <v>96.1</v>
      </c>
      <c r="AC136" t="s">
        <v>125</v>
      </c>
      <c r="AD136" t="s">
        <v>126</v>
      </c>
      <c r="AE136" t="s">
        <v>115</v>
      </c>
      <c r="AF136" t="s">
        <v>116</v>
      </c>
      <c r="AG136" t="s">
        <v>117</v>
      </c>
      <c r="AH136" t="s">
        <v>118</v>
      </c>
      <c r="AI136" t="s">
        <v>119</v>
      </c>
      <c r="AJ136" t="s">
        <v>120</v>
      </c>
      <c r="AK136" t="s">
        <v>121</v>
      </c>
      <c r="AL136" t="s">
        <v>127</v>
      </c>
    </row>
    <row r="137" spans="22:38" x14ac:dyDescent="0.35">
      <c r="V137">
        <v>74</v>
      </c>
      <c r="W137" s="1" t="s">
        <v>170</v>
      </c>
      <c r="X137">
        <v>100</v>
      </c>
      <c r="Y137" t="b">
        <v>1</v>
      </c>
      <c r="Z137">
        <v>100</v>
      </c>
      <c r="AA137" t="b">
        <v>0</v>
      </c>
      <c r="AB137">
        <v>95.44</v>
      </c>
      <c r="AC137" t="s">
        <v>125</v>
      </c>
      <c r="AD137" t="s">
        <v>126</v>
      </c>
      <c r="AE137" t="s">
        <v>115</v>
      </c>
      <c r="AF137" t="s">
        <v>116</v>
      </c>
      <c r="AG137" t="s">
        <v>117</v>
      </c>
      <c r="AH137" t="s">
        <v>118</v>
      </c>
      <c r="AI137" t="s">
        <v>119</v>
      </c>
      <c r="AJ137" t="s">
        <v>120</v>
      </c>
      <c r="AK137" t="s">
        <v>121</v>
      </c>
      <c r="AL137" t="s">
        <v>127</v>
      </c>
    </row>
    <row r="138" spans="22:38" x14ac:dyDescent="0.35">
      <c r="V138">
        <v>75</v>
      </c>
      <c r="W138" s="1" t="s">
        <v>171</v>
      </c>
      <c r="X138">
        <v>100</v>
      </c>
      <c r="Y138" t="b">
        <v>1</v>
      </c>
      <c r="Z138">
        <v>100</v>
      </c>
      <c r="AA138" t="b">
        <v>0</v>
      </c>
      <c r="AB138">
        <v>94.69</v>
      </c>
      <c r="AC138" t="s">
        <v>125</v>
      </c>
      <c r="AD138" t="s">
        <v>126</v>
      </c>
      <c r="AE138" t="s">
        <v>115</v>
      </c>
      <c r="AF138" t="s">
        <v>116</v>
      </c>
      <c r="AG138" t="s">
        <v>117</v>
      </c>
      <c r="AH138" t="s">
        <v>118</v>
      </c>
      <c r="AI138" t="s">
        <v>119</v>
      </c>
      <c r="AJ138" t="s">
        <v>120</v>
      </c>
      <c r="AK138" t="s">
        <v>121</v>
      </c>
      <c r="AL138" t="s">
        <v>127</v>
      </c>
    </row>
    <row r="139" spans="22:38" x14ac:dyDescent="0.35">
      <c r="V139">
        <v>76</v>
      </c>
      <c r="W139" s="1" t="s">
        <v>172</v>
      </c>
      <c r="X139">
        <v>100</v>
      </c>
      <c r="Y139" t="b">
        <v>1</v>
      </c>
      <c r="Z139">
        <v>100</v>
      </c>
      <c r="AA139" t="b">
        <v>0</v>
      </c>
      <c r="AB139">
        <v>96.1</v>
      </c>
      <c r="AC139" t="s">
        <v>125</v>
      </c>
      <c r="AD139" t="s">
        <v>126</v>
      </c>
      <c r="AE139" t="s">
        <v>115</v>
      </c>
      <c r="AF139" t="s">
        <v>116</v>
      </c>
      <c r="AG139" t="s">
        <v>117</v>
      </c>
      <c r="AH139" t="s">
        <v>118</v>
      </c>
      <c r="AI139" t="s">
        <v>119</v>
      </c>
      <c r="AJ139" t="s">
        <v>120</v>
      </c>
      <c r="AK139" t="s">
        <v>121</v>
      </c>
      <c r="AL139" t="s">
        <v>127</v>
      </c>
    </row>
    <row r="140" spans="22:38" x14ac:dyDescent="0.35">
      <c r="V140">
        <v>77</v>
      </c>
      <c r="W140" s="1" t="s">
        <v>173</v>
      </c>
      <c r="X140">
        <v>100</v>
      </c>
      <c r="Y140" t="b">
        <v>1</v>
      </c>
      <c r="Z140">
        <v>100</v>
      </c>
      <c r="AA140" t="b">
        <v>0</v>
      </c>
      <c r="AB140">
        <v>94.17</v>
      </c>
      <c r="AC140" t="s">
        <v>125</v>
      </c>
      <c r="AD140" t="s">
        <v>126</v>
      </c>
      <c r="AE140" t="s">
        <v>115</v>
      </c>
      <c r="AF140" t="s">
        <v>116</v>
      </c>
      <c r="AG140" t="s">
        <v>117</v>
      </c>
      <c r="AH140" t="s">
        <v>118</v>
      </c>
      <c r="AI140" t="s">
        <v>119</v>
      </c>
      <c r="AJ140" t="s">
        <v>120</v>
      </c>
      <c r="AK140" t="s">
        <v>121</v>
      </c>
      <c r="AL140" t="s">
        <v>127</v>
      </c>
    </row>
    <row r="141" spans="22:38" x14ac:dyDescent="0.35">
      <c r="V141">
        <v>78</v>
      </c>
      <c r="W141" s="1" t="s">
        <v>174</v>
      </c>
      <c r="X141">
        <v>100</v>
      </c>
      <c r="Y141" t="b">
        <v>1</v>
      </c>
      <c r="Z141">
        <v>100</v>
      </c>
      <c r="AA141" t="b">
        <v>0</v>
      </c>
      <c r="AB141">
        <v>92.69</v>
      </c>
      <c r="AC141" t="s">
        <v>125</v>
      </c>
      <c r="AD141" t="s">
        <v>126</v>
      </c>
      <c r="AE141" t="s">
        <v>115</v>
      </c>
      <c r="AF141" t="s">
        <v>116</v>
      </c>
      <c r="AG141" t="s">
        <v>117</v>
      </c>
      <c r="AH141" t="s">
        <v>118</v>
      </c>
      <c r="AI141" t="s">
        <v>119</v>
      </c>
      <c r="AJ141" t="s">
        <v>120</v>
      </c>
      <c r="AK141" t="s">
        <v>121</v>
      </c>
      <c r="AL141" t="s">
        <v>127</v>
      </c>
    </row>
    <row r="142" spans="22:38" x14ac:dyDescent="0.35">
      <c r="V142">
        <v>79</v>
      </c>
      <c r="W142" s="1" t="s">
        <v>175</v>
      </c>
      <c r="X142">
        <v>100</v>
      </c>
      <c r="Y142" t="b">
        <v>1</v>
      </c>
      <c r="Z142">
        <v>100</v>
      </c>
      <c r="AA142" t="b">
        <v>0</v>
      </c>
      <c r="AB142">
        <v>91.7</v>
      </c>
      <c r="AC142" t="s">
        <v>125</v>
      </c>
      <c r="AD142" t="s">
        <v>126</v>
      </c>
      <c r="AE142" t="s">
        <v>115</v>
      </c>
      <c r="AF142" t="s">
        <v>116</v>
      </c>
      <c r="AG142" t="s">
        <v>117</v>
      </c>
      <c r="AH142" t="s">
        <v>118</v>
      </c>
      <c r="AI142" t="s">
        <v>119</v>
      </c>
      <c r="AJ142" t="s">
        <v>120</v>
      </c>
      <c r="AK142" t="s">
        <v>121</v>
      </c>
      <c r="AL142" t="s">
        <v>127</v>
      </c>
    </row>
    <row r="143" spans="22:38" x14ac:dyDescent="0.35">
      <c r="V143">
        <v>80</v>
      </c>
      <c r="W143" s="1" t="s">
        <v>176</v>
      </c>
      <c r="X143">
        <v>100</v>
      </c>
      <c r="Y143" t="b">
        <v>1</v>
      </c>
      <c r="Z143">
        <v>100</v>
      </c>
      <c r="AA143" t="b">
        <v>0</v>
      </c>
      <c r="AB143">
        <v>82.05</v>
      </c>
      <c r="AC143" t="s">
        <v>125</v>
      </c>
      <c r="AD143" t="s">
        <v>126</v>
      </c>
      <c r="AE143" t="s">
        <v>115</v>
      </c>
      <c r="AF143" t="s">
        <v>116</v>
      </c>
      <c r="AG143" t="s">
        <v>117</v>
      </c>
      <c r="AH143" t="s">
        <v>118</v>
      </c>
      <c r="AI143" t="s">
        <v>119</v>
      </c>
      <c r="AJ143" t="s">
        <v>120</v>
      </c>
      <c r="AK143" t="s">
        <v>121</v>
      </c>
      <c r="AL143" t="s">
        <v>127</v>
      </c>
    </row>
    <row r="144" spans="22:38" x14ac:dyDescent="0.35">
      <c r="V144">
        <v>81</v>
      </c>
      <c r="W144" s="1" t="s">
        <v>177</v>
      </c>
      <c r="X144">
        <v>100</v>
      </c>
      <c r="Y144" t="b">
        <v>1</v>
      </c>
      <c r="Z144">
        <v>100</v>
      </c>
      <c r="AA144" t="b">
        <v>0</v>
      </c>
      <c r="AB144">
        <v>81.06</v>
      </c>
      <c r="AC144" t="s">
        <v>125</v>
      </c>
      <c r="AD144" t="s">
        <v>126</v>
      </c>
      <c r="AE144" t="s">
        <v>115</v>
      </c>
      <c r="AF144" t="s">
        <v>116</v>
      </c>
      <c r="AG144" t="s">
        <v>117</v>
      </c>
      <c r="AH144" t="s">
        <v>118</v>
      </c>
      <c r="AI144" t="s">
        <v>119</v>
      </c>
      <c r="AJ144" t="s">
        <v>120</v>
      </c>
      <c r="AK144" t="s">
        <v>121</v>
      </c>
      <c r="AL144" t="s">
        <v>127</v>
      </c>
    </row>
    <row r="149" spans="22:43" x14ac:dyDescent="0.35">
      <c r="V149" t="s">
        <v>106</v>
      </c>
      <c r="W149" s="1" t="s">
        <v>107</v>
      </c>
      <c r="X149" t="s">
        <v>178</v>
      </c>
      <c r="Y149" t="s">
        <v>179</v>
      </c>
      <c r="Z149" t="s">
        <v>180</v>
      </c>
      <c r="AA149" t="s">
        <v>181</v>
      </c>
      <c r="AB149" t="s">
        <v>182</v>
      </c>
      <c r="AC149" t="s">
        <v>183</v>
      </c>
      <c r="AD149" t="s">
        <v>184</v>
      </c>
      <c r="AE149" t="s">
        <v>185</v>
      </c>
      <c r="AF149" t="s">
        <v>186</v>
      </c>
      <c r="AG149" t="s">
        <v>187</v>
      </c>
      <c r="AH149" t="s">
        <v>188</v>
      </c>
      <c r="AI149" t="s">
        <v>189</v>
      </c>
      <c r="AJ149" t="s">
        <v>190</v>
      </c>
      <c r="AK149" t="s">
        <v>191</v>
      </c>
      <c r="AL149" t="s">
        <v>192</v>
      </c>
      <c r="AM149" t="s">
        <v>193</v>
      </c>
      <c r="AN149" t="s">
        <v>194</v>
      </c>
      <c r="AO149" t="s">
        <v>195</v>
      </c>
      <c r="AP149" t="s">
        <v>196</v>
      </c>
      <c r="AQ149" t="s">
        <v>123</v>
      </c>
    </row>
    <row r="150" spans="22:43" x14ac:dyDescent="0.35">
      <c r="V150">
        <v>82</v>
      </c>
      <c r="W150" s="1" t="s">
        <v>197</v>
      </c>
      <c r="X150" t="s">
        <v>124</v>
      </c>
      <c r="Y150" t="b">
        <v>1</v>
      </c>
      <c r="Z150">
        <v>96.1</v>
      </c>
      <c r="AA150" t="s">
        <v>129</v>
      </c>
      <c r="AB150" t="b">
        <v>0</v>
      </c>
      <c r="AC150">
        <v>94.81</v>
      </c>
      <c r="AD150" t="b">
        <v>0</v>
      </c>
      <c r="AF150">
        <v>73.7</v>
      </c>
      <c r="AG150">
        <v>1.7999999999999999E-2</v>
      </c>
      <c r="AH150" t="s">
        <v>198</v>
      </c>
      <c r="AI150">
        <v>12</v>
      </c>
      <c r="AJ150">
        <v>1.2999999999999999E-2</v>
      </c>
      <c r="AK150" t="s">
        <v>126</v>
      </c>
      <c r="AL150" t="s">
        <v>126</v>
      </c>
      <c r="AM150" t="s">
        <v>126</v>
      </c>
      <c r="AN150">
        <v>4.7300000000000004</v>
      </c>
      <c r="AO150" t="s">
        <v>126</v>
      </c>
      <c r="AP150" t="s">
        <v>126</v>
      </c>
    </row>
    <row r="151" spans="22:43" x14ac:dyDescent="0.35">
      <c r="V151">
        <v>83</v>
      </c>
      <c r="W151" s="1" t="s">
        <v>199</v>
      </c>
      <c r="X151" t="s">
        <v>129</v>
      </c>
      <c r="Y151" t="b">
        <v>1</v>
      </c>
      <c r="Z151">
        <v>94.81</v>
      </c>
      <c r="AA151" t="s">
        <v>131</v>
      </c>
      <c r="AB151" t="b">
        <v>0</v>
      </c>
      <c r="AC151">
        <v>94.13</v>
      </c>
      <c r="AD151" t="b">
        <v>0</v>
      </c>
      <c r="AF151">
        <v>57.7</v>
      </c>
      <c r="AG151">
        <v>1.2E-2</v>
      </c>
      <c r="AH151" t="s">
        <v>198</v>
      </c>
      <c r="AI151">
        <v>12</v>
      </c>
      <c r="AJ151">
        <v>1.2999999999999999E-2</v>
      </c>
      <c r="AK151" t="s">
        <v>126</v>
      </c>
      <c r="AL151" t="s">
        <v>126</v>
      </c>
      <c r="AM151" t="s">
        <v>126</v>
      </c>
      <c r="AN151">
        <v>3.86</v>
      </c>
      <c r="AO151" t="s">
        <v>126</v>
      </c>
      <c r="AP151" t="s">
        <v>126</v>
      </c>
    </row>
    <row r="152" spans="22:43" x14ac:dyDescent="0.35">
      <c r="V152">
        <v>84</v>
      </c>
      <c r="W152" s="1" t="s">
        <v>200</v>
      </c>
      <c r="X152" t="s">
        <v>131</v>
      </c>
      <c r="Y152" t="b">
        <v>1</v>
      </c>
      <c r="Z152">
        <v>94.13</v>
      </c>
      <c r="AA152" t="s">
        <v>134</v>
      </c>
      <c r="AB152" t="b">
        <v>0</v>
      </c>
      <c r="AC152">
        <v>92.47</v>
      </c>
      <c r="AD152" t="b">
        <v>0</v>
      </c>
      <c r="AF152">
        <v>112.6</v>
      </c>
      <c r="AG152">
        <v>1.4999999999999999E-2</v>
      </c>
      <c r="AH152" t="s">
        <v>198</v>
      </c>
      <c r="AI152">
        <v>12</v>
      </c>
      <c r="AJ152">
        <v>1.2999999999999999E-2</v>
      </c>
      <c r="AK152" t="s">
        <v>126</v>
      </c>
      <c r="AL152" t="s">
        <v>126</v>
      </c>
      <c r="AM152" t="s">
        <v>126</v>
      </c>
      <c r="AN152">
        <v>4.32</v>
      </c>
      <c r="AO152" t="s">
        <v>126</v>
      </c>
      <c r="AP152" t="s">
        <v>126</v>
      </c>
    </row>
    <row r="153" spans="22:43" x14ac:dyDescent="0.35">
      <c r="V153">
        <v>85</v>
      </c>
      <c r="W153" s="1" t="s">
        <v>201</v>
      </c>
      <c r="X153" t="s">
        <v>134</v>
      </c>
      <c r="Y153" t="b">
        <v>1</v>
      </c>
      <c r="Z153">
        <v>92.47</v>
      </c>
      <c r="AA153" t="s">
        <v>162</v>
      </c>
      <c r="AB153" t="b">
        <v>0</v>
      </c>
      <c r="AC153">
        <v>90.02</v>
      </c>
      <c r="AD153" t="b">
        <v>0</v>
      </c>
      <c r="AF153">
        <v>162.9</v>
      </c>
      <c r="AG153">
        <v>1.4999999999999999E-2</v>
      </c>
      <c r="AH153" t="s">
        <v>198</v>
      </c>
      <c r="AI153">
        <v>12</v>
      </c>
      <c r="AJ153">
        <v>1.2999999999999999E-2</v>
      </c>
      <c r="AK153" t="s">
        <v>126</v>
      </c>
      <c r="AL153" t="s">
        <v>126</v>
      </c>
      <c r="AM153" t="s">
        <v>126</v>
      </c>
      <c r="AN153">
        <v>4.37</v>
      </c>
      <c r="AO153" t="s">
        <v>126</v>
      </c>
      <c r="AP153" t="s">
        <v>126</v>
      </c>
    </row>
    <row r="154" spans="22:43" x14ac:dyDescent="0.35">
      <c r="V154">
        <v>86</v>
      </c>
      <c r="W154" s="1" t="s">
        <v>202</v>
      </c>
      <c r="X154" t="s">
        <v>162</v>
      </c>
      <c r="Y154" t="b">
        <v>1</v>
      </c>
      <c r="Z154">
        <v>83.45</v>
      </c>
      <c r="AA154" t="s">
        <v>164</v>
      </c>
      <c r="AB154" t="b">
        <v>0</v>
      </c>
      <c r="AC154">
        <v>82.76</v>
      </c>
      <c r="AD154" t="b">
        <v>0</v>
      </c>
      <c r="AF154">
        <v>93.4</v>
      </c>
      <c r="AG154">
        <v>7.0000000000000001E-3</v>
      </c>
      <c r="AH154" t="s">
        <v>198</v>
      </c>
      <c r="AI154">
        <v>12</v>
      </c>
      <c r="AJ154">
        <v>1.2999999999999999E-2</v>
      </c>
      <c r="AK154" t="s">
        <v>126</v>
      </c>
      <c r="AL154" t="s">
        <v>126</v>
      </c>
      <c r="AM154" t="s">
        <v>126</v>
      </c>
      <c r="AN154">
        <v>3.05</v>
      </c>
      <c r="AO154" t="s">
        <v>126</v>
      </c>
      <c r="AP154" t="s">
        <v>126</v>
      </c>
    </row>
    <row r="155" spans="22:43" x14ac:dyDescent="0.35">
      <c r="V155">
        <v>87</v>
      </c>
      <c r="W155" s="1" t="s">
        <v>203</v>
      </c>
      <c r="X155" t="s">
        <v>164</v>
      </c>
      <c r="Y155" t="b">
        <v>1</v>
      </c>
      <c r="Z155">
        <v>82.76</v>
      </c>
      <c r="AA155" t="s">
        <v>176</v>
      </c>
      <c r="AB155" t="b">
        <v>0</v>
      </c>
      <c r="AC155">
        <v>82.3</v>
      </c>
      <c r="AD155" t="b">
        <v>0</v>
      </c>
      <c r="AF155">
        <v>59.6</v>
      </c>
      <c r="AG155">
        <v>8.0000000000000002E-3</v>
      </c>
      <c r="AH155" t="s">
        <v>198</v>
      </c>
      <c r="AI155">
        <v>12</v>
      </c>
      <c r="AJ155">
        <v>1.2999999999999999E-2</v>
      </c>
      <c r="AK155" t="s">
        <v>126</v>
      </c>
      <c r="AL155" t="s">
        <v>126</v>
      </c>
      <c r="AM155" t="s">
        <v>126</v>
      </c>
      <c r="AN155">
        <v>3.14</v>
      </c>
      <c r="AO155" t="s">
        <v>126</v>
      </c>
      <c r="AP155" t="s">
        <v>126</v>
      </c>
    </row>
    <row r="156" spans="22:43" x14ac:dyDescent="0.35">
      <c r="V156">
        <v>89</v>
      </c>
      <c r="W156" s="1" t="s">
        <v>204</v>
      </c>
      <c r="X156" t="s">
        <v>169</v>
      </c>
      <c r="Y156" t="b">
        <v>1</v>
      </c>
      <c r="Z156">
        <v>96.1</v>
      </c>
      <c r="AA156" t="s">
        <v>170</v>
      </c>
      <c r="AB156" t="b">
        <v>0</v>
      </c>
      <c r="AC156">
        <v>95.44</v>
      </c>
      <c r="AD156" t="b">
        <v>0</v>
      </c>
      <c r="AF156">
        <v>44.4</v>
      </c>
      <c r="AG156">
        <v>1.4999999999999999E-2</v>
      </c>
      <c r="AH156" t="s">
        <v>198</v>
      </c>
      <c r="AI156">
        <v>12</v>
      </c>
      <c r="AJ156">
        <v>1.2999999999999999E-2</v>
      </c>
      <c r="AK156" t="s">
        <v>126</v>
      </c>
      <c r="AL156" t="s">
        <v>126</v>
      </c>
      <c r="AM156" t="s">
        <v>126</v>
      </c>
      <c r="AN156">
        <v>4.3600000000000003</v>
      </c>
      <c r="AO156" t="s">
        <v>126</v>
      </c>
      <c r="AP156" t="s">
        <v>126</v>
      </c>
    </row>
    <row r="157" spans="22:43" x14ac:dyDescent="0.35">
      <c r="V157">
        <v>90</v>
      </c>
      <c r="W157" s="1" t="s">
        <v>205</v>
      </c>
      <c r="X157" t="s">
        <v>170</v>
      </c>
      <c r="Y157" t="b">
        <v>1</v>
      </c>
      <c r="Z157">
        <v>95.44</v>
      </c>
      <c r="AA157" t="s">
        <v>171</v>
      </c>
      <c r="AB157" t="b">
        <v>0</v>
      </c>
      <c r="AC157">
        <v>94.69</v>
      </c>
      <c r="AD157" t="b">
        <v>0</v>
      </c>
      <c r="AF157">
        <v>53.5</v>
      </c>
      <c r="AG157">
        <v>1.4E-2</v>
      </c>
      <c r="AH157" t="s">
        <v>198</v>
      </c>
      <c r="AI157">
        <v>12</v>
      </c>
      <c r="AJ157">
        <v>1.2999999999999999E-2</v>
      </c>
      <c r="AK157" t="s">
        <v>126</v>
      </c>
      <c r="AL157" t="s">
        <v>126</v>
      </c>
      <c r="AM157" t="s">
        <v>126</v>
      </c>
      <c r="AN157">
        <v>4.2</v>
      </c>
      <c r="AO157" t="s">
        <v>126</v>
      </c>
      <c r="AP157" t="s">
        <v>126</v>
      </c>
    </row>
    <row r="158" spans="22:43" x14ac:dyDescent="0.35">
      <c r="V158">
        <v>91</v>
      </c>
      <c r="W158" s="1" t="s">
        <v>206</v>
      </c>
      <c r="X158" t="s">
        <v>171</v>
      </c>
      <c r="Y158" t="b">
        <v>1</v>
      </c>
      <c r="Z158">
        <v>94.69</v>
      </c>
      <c r="AA158" t="s">
        <v>174</v>
      </c>
      <c r="AB158" t="b">
        <v>0</v>
      </c>
      <c r="AC158">
        <v>92.69</v>
      </c>
      <c r="AD158" t="b">
        <v>0</v>
      </c>
      <c r="AF158">
        <v>133.6</v>
      </c>
      <c r="AG158">
        <v>1.4999999999999999E-2</v>
      </c>
      <c r="AH158" t="s">
        <v>198</v>
      </c>
      <c r="AI158">
        <v>12</v>
      </c>
      <c r="AJ158">
        <v>1.2999999999999999E-2</v>
      </c>
      <c r="AK158" t="s">
        <v>126</v>
      </c>
      <c r="AL158" t="s">
        <v>126</v>
      </c>
      <c r="AM158" t="s">
        <v>126</v>
      </c>
      <c r="AN158">
        <v>4.37</v>
      </c>
      <c r="AO158" t="s">
        <v>126</v>
      </c>
      <c r="AP158" t="s">
        <v>126</v>
      </c>
    </row>
    <row r="159" spans="22:43" x14ac:dyDescent="0.35">
      <c r="V159">
        <v>92</v>
      </c>
      <c r="W159" s="1" t="s">
        <v>207</v>
      </c>
      <c r="X159" t="s">
        <v>174</v>
      </c>
      <c r="Y159" t="b">
        <v>1</v>
      </c>
      <c r="Z159">
        <v>92.69</v>
      </c>
      <c r="AA159" t="s">
        <v>175</v>
      </c>
      <c r="AB159" t="b">
        <v>0</v>
      </c>
      <c r="AC159">
        <v>91.71</v>
      </c>
      <c r="AD159" t="b">
        <v>0</v>
      </c>
      <c r="AF159">
        <v>64</v>
      </c>
      <c r="AG159">
        <v>1.4999999999999999E-2</v>
      </c>
      <c r="AH159" t="s">
        <v>198</v>
      </c>
      <c r="AI159">
        <v>12</v>
      </c>
      <c r="AJ159">
        <v>1.2999999999999999E-2</v>
      </c>
      <c r="AK159" t="s">
        <v>126</v>
      </c>
      <c r="AL159" t="s">
        <v>126</v>
      </c>
      <c r="AM159" t="s">
        <v>126</v>
      </c>
      <c r="AN159">
        <v>4.4000000000000004</v>
      </c>
      <c r="AO159" t="s">
        <v>126</v>
      </c>
      <c r="AP159" t="s">
        <v>126</v>
      </c>
    </row>
    <row r="160" spans="22:43" x14ac:dyDescent="0.35">
      <c r="V160">
        <v>93</v>
      </c>
      <c r="W160" s="1" t="s">
        <v>208</v>
      </c>
      <c r="X160" t="s">
        <v>175</v>
      </c>
      <c r="Y160" t="b">
        <v>1</v>
      </c>
      <c r="Z160">
        <v>91.7</v>
      </c>
      <c r="AA160" t="s">
        <v>176</v>
      </c>
      <c r="AB160" t="b">
        <v>0</v>
      </c>
      <c r="AC160">
        <v>90.07</v>
      </c>
      <c r="AD160" t="b">
        <v>0</v>
      </c>
      <c r="AF160">
        <v>136</v>
      </c>
      <c r="AG160">
        <v>1.2E-2</v>
      </c>
      <c r="AH160" t="s">
        <v>198</v>
      </c>
      <c r="AI160">
        <v>12</v>
      </c>
      <c r="AJ160">
        <v>1.2999999999999999E-2</v>
      </c>
      <c r="AK160" t="s">
        <v>126</v>
      </c>
      <c r="AL160" t="s">
        <v>126</v>
      </c>
      <c r="AM160" t="s">
        <v>126</v>
      </c>
      <c r="AN160">
        <v>3.91</v>
      </c>
      <c r="AO160" t="s">
        <v>126</v>
      </c>
      <c r="AP160" t="s">
        <v>126</v>
      </c>
    </row>
    <row r="161" spans="22:42" x14ac:dyDescent="0.35">
      <c r="V161">
        <v>94</v>
      </c>
      <c r="W161" s="1" t="s">
        <v>209</v>
      </c>
      <c r="X161" t="s">
        <v>132</v>
      </c>
      <c r="Y161" t="b">
        <v>1</v>
      </c>
      <c r="Z161">
        <v>96.1</v>
      </c>
      <c r="AA161" t="s">
        <v>133</v>
      </c>
      <c r="AB161" t="b">
        <v>0</v>
      </c>
      <c r="AC161">
        <v>95.54</v>
      </c>
      <c r="AD161" t="b">
        <v>0</v>
      </c>
      <c r="AF161">
        <v>41.8</v>
      </c>
      <c r="AG161">
        <v>1.2999999999999999E-2</v>
      </c>
      <c r="AH161" t="s">
        <v>198</v>
      </c>
      <c r="AI161">
        <v>12</v>
      </c>
      <c r="AJ161">
        <v>1.2999999999999999E-2</v>
      </c>
      <c r="AK161" t="s">
        <v>126</v>
      </c>
      <c r="AL161" t="s">
        <v>126</v>
      </c>
      <c r="AM161" t="s">
        <v>126</v>
      </c>
      <c r="AN161">
        <v>4.1399999999999997</v>
      </c>
      <c r="AO161" t="s">
        <v>126</v>
      </c>
      <c r="AP161" t="s">
        <v>126</v>
      </c>
    </row>
    <row r="162" spans="22:42" x14ac:dyDescent="0.35">
      <c r="V162">
        <v>95</v>
      </c>
      <c r="W162" s="1" t="s">
        <v>210</v>
      </c>
      <c r="X162" t="s">
        <v>133</v>
      </c>
      <c r="Y162" t="b">
        <v>1</v>
      </c>
      <c r="Z162">
        <v>95.54</v>
      </c>
      <c r="AA162" t="s">
        <v>134</v>
      </c>
      <c r="AB162" t="b">
        <v>0</v>
      </c>
      <c r="AC162">
        <v>94.38</v>
      </c>
      <c r="AD162" t="b">
        <v>0</v>
      </c>
      <c r="AF162">
        <v>74.099999999999994</v>
      </c>
      <c r="AG162">
        <v>1.6E-2</v>
      </c>
      <c r="AH162" t="s">
        <v>198</v>
      </c>
      <c r="AI162">
        <v>12</v>
      </c>
      <c r="AJ162">
        <v>1.2999999999999999E-2</v>
      </c>
      <c r="AK162" t="s">
        <v>126</v>
      </c>
      <c r="AL162" t="s">
        <v>126</v>
      </c>
      <c r="AM162" t="s">
        <v>126</v>
      </c>
      <c r="AN162">
        <v>4.47</v>
      </c>
      <c r="AO162" t="s">
        <v>126</v>
      </c>
      <c r="AP162" t="s">
        <v>126</v>
      </c>
    </row>
    <row r="163" spans="22:42" x14ac:dyDescent="0.35">
      <c r="V163">
        <v>96</v>
      </c>
      <c r="W163" s="1" t="s">
        <v>211</v>
      </c>
      <c r="X163" t="s">
        <v>143</v>
      </c>
      <c r="Y163" t="b">
        <v>1</v>
      </c>
      <c r="Z163">
        <v>96.1</v>
      </c>
      <c r="AA163" t="s">
        <v>144</v>
      </c>
      <c r="AB163" t="b">
        <v>0</v>
      </c>
      <c r="AC163">
        <v>94.33</v>
      </c>
      <c r="AD163" t="b">
        <v>0</v>
      </c>
      <c r="AF163">
        <v>126.2</v>
      </c>
      <c r="AG163">
        <v>1.4E-2</v>
      </c>
      <c r="AH163" t="s">
        <v>198</v>
      </c>
      <c r="AI163">
        <v>12</v>
      </c>
      <c r="AJ163">
        <v>1.2999999999999999E-2</v>
      </c>
      <c r="AK163" t="s">
        <v>126</v>
      </c>
      <c r="AL163" t="s">
        <v>126</v>
      </c>
      <c r="AM163" t="s">
        <v>126</v>
      </c>
      <c r="AN163">
        <v>4.2300000000000004</v>
      </c>
      <c r="AO163" t="s">
        <v>126</v>
      </c>
      <c r="AP163" t="s">
        <v>126</v>
      </c>
    </row>
    <row r="164" spans="22:42" x14ac:dyDescent="0.35">
      <c r="V164">
        <v>97</v>
      </c>
      <c r="W164" s="1" t="s">
        <v>212</v>
      </c>
      <c r="X164" t="s">
        <v>144</v>
      </c>
      <c r="Y164" t="b">
        <v>1</v>
      </c>
      <c r="Z164">
        <v>94.33</v>
      </c>
      <c r="AA164" t="s">
        <v>145</v>
      </c>
      <c r="AB164" t="b">
        <v>0</v>
      </c>
      <c r="AC164">
        <v>93.43</v>
      </c>
      <c r="AD164" t="b">
        <v>0</v>
      </c>
      <c r="AF164">
        <v>55.9</v>
      </c>
      <c r="AG164">
        <v>1.6E-2</v>
      </c>
      <c r="AH164" t="s">
        <v>198</v>
      </c>
      <c r="AI164">
        <v>12</v>
      </c>
      <c r="AJ164">
        <v>1.2999999999999999E-2</v>
      </c>
      <c r="AK164" t="s">
        <v>126</v>
      </c>
      <c r="AL164" t="s">
        <v>126</v>
      </c>
      <c r="AM164" t="s">
        <v>126</v>
      </c>
      <c r="AN164">
        <v>4.51</v>
      </c>
      <c r="AO164" t="s">
        <v>126</v>
      </c>
      <c r="AP164" t="s">
        <v>126</v>
      </c>
    </row>
    <row r="165" spans="22:42" x14ac:dyDescent="0.35">
      <c r="V165">
        <v>98</v>
      </c>
      <c r="W165" s="1" t="s">
        <v>213</v>
      </c>
      <c r="X165" t="s">
        <v>145</v>
      </c>
      <c r="Y165" t="b">
        <v>1</v>
      </c>
      <c r="Z165">
        <v>92.11</v>
      </c>
      <c r="AA165" t="s">
        <v>161</v>
      </c>
      <c r="AB165" t="b">
        <v>0</v>
      </c>
      <c r="AC165">
        <v>91.06</v>
      </c>
      <c r="AD165" t="b">
        <v>0</v>
      </c>
      <c r="AF165">
        <v>72.099999999999994</v>
      </c>
      <c r="AG165">
        <v>1.4999999999999999E-2</v>
      </c>
      <c r="AH165" t="s">
        <v>198</v>
      </c>
      <c r="AI165">
        <v>12</v>
      </c>
      <c r="AJ165">
        <v>1.2999999999999999E-2</v>
      </c>
      <c r="AK165" t="s">
        <v>126</v>
      </c>
      <c r="AL165" t="s">
        <v>126</v>
      </c>
      <c r="AM165" t="s">
        <v>126</v>
      </c>
      <c r="AN165">
        <v>4.3</v>
      </c>
      <c r="AO165" t="s">
        <v>126</v>
      </c>
      <c r="AP165" t="s">
        <v>126</v>
      </c>
    </row>
    <row r="166" spans="22:42" x14ac:dyDescent="0.35">
      <c r="V166">
        <v>101</v>
      </c>
      <c r="W166" s="1" t="s">
        <v>214</v>
      </c>
      <c r="X166" t="s">
        <v>135</v>
      </c>
      <c r="Y166" t="b">
        <v>1</v>
      </c>
      <c r="Z166">
        <v>96.1</v>
      </c>
      <c r="AA166" t="s">
        <v>138</v>
      </c>
      <c r="AB166" t="b">
        <v>0</v>
      </c>
      <c r="AC166">
        <v>94.83</v>
      </c>
      <c r="AD166" t="b">
        <v>0</v>
      </c>
      <c r="AF166">
        <v>83.5</v>
      </c>
      <c r="AG166">
        <v>1.4999999999999999E-2</v>
      </c>
      <c r="AH166" t="s">
        <v>198</v>
      </c>
      <c r="AI166">
        <v>12</v>
      </c>
      <c r="AJ166">
        <v>1.2999999999999999E-2</v>
      </c>
      <c r="AK166" t="s">
        <v>126</v>
      </c>
      <c r="AL166" t="s">
        <v>126</v>
      </c>
      <c r="AM166" t="s">
        <v>126</v>
      </c>
      <c r="AN166">
        <v>4.4000000000000004</v>
      </c>
      <c r="AO166" t="s">
        <v>126</v>
      </c>
      <c r="AP166" t="s">
        <v>126</v>
      </c>
    </row>
    <row r="167" spans="22:42" x14ac:dyDescent="0.35">
      <c r="V167">
        <v>102</v>
      </c>
      <c r="W167" s="1" t="s">
        <v>215</v>
      </c>
      <c r="X167" t="s">
        <v>138</v>
      </c>
      <c r="Y167" t="b">
        <v>1</v>
      </c>
      <c r="Z167">
        <v>94.83</v>
      </c>
      <c r="AA167" t="s">
        <v>142</v>
      </c>
      <c r="AB167" t="b">
        <v>0</v>
      </c>
      <c r="AC167">
        <v>93.1</v>
      </c>
      <c r="AD167" t="b">
        <v>0</v>
      </c>
      <c r="AF167">
        <v>112.9</v>
      </c>
      <c r="AG167">
        <v>1.4999999999999999E-2</v>
      </c>
      <c r="AH167" t="s">
        <v>198</v>
      </c>
      <c r="AI167">
        <v>12</v>
      </c>
      <c r="AJ167">
        <v>1.2999999999999999E-2</v>
      </c>
      <c r="AK167" t="s">
        <v>126</v>
      </c>
      <c r="AL167" t="s">
        <v>126</v>
      </c>
      <c r="AM167" t="s">
        <v>126</v>
      </c>
      <c r="AN167">
        <v>4.41</v>
      </c>
      <c r="AO167" t="s">
        <v>126</v>
      </c>
      <c r="AP167" t="s">
        <v>126</v>
      </c>
    </row>
    <row r="168" spans="22:42" x14ac:dyDescent="0.35">
      <c r="V168">
        <v>103</v>
      </c>
      <c r="W168" s="1" t="s">
        <v>216</v>
      </c>
      <c r="X168" t="s">
        <v>142</v>
      </c>
      <c r="Y168" t="b">
        <v>1</v>
      </c>
      <c r="Z168">
        <v>93.1</v>
      </c>
      <c r="AA168" t="s">
        <v>145</v>
      </c>
      <c r="AB168" t="b">
        <v>0</v>
      </c>
      <c r="AC168">
        <v>92.11</v>
      </c>
      <c r="AD168" t="b">
        <v>0</v>
      </c>
      <c r="AF168">
        <v>75.599999999999994</v>
      </c>
      <c r="AG168">
        <v>1.2999999999999999E-2</v>
      </c>
      <c r="AH168" t="s">
        <v>198</v>
      </c>
      <c r="AI168">
        <v>12</v>
      </c>
      <c r="AJ168">
        <v>1.2999999999999999E-2</v>
      </c>
      <c r="AK168" t="s">
        <v>126</v>
      </c>
      <c r="AL168" t="s">
        <v>126</v>
      </c>
      <c r="AM168" t="s">
        <v>126</v>
      </c>
      <c r="AN168">
        <v>4.07</v>
      </c>
      <c r="AO168" t="s">
        <v>126</v>
      </c>
      <c r="AP168" t="s">
        <v>126</v>
      </c>
    </row>
    <row r="169" spans="22:42" x14ac:dyDescent="0.35">
      <c r="V169">
        <v>104</v>
      </c>
      <c r="W169" s="1" t="s">
        <v>217</v>
      </c>
      <c r="X169" t="s">
        <v>136</v>
      </c>
      <c r="Y169" t="b">
        <v>1</v>
      </c>
      <c r="Z169">
        <v>96.1</v>
      </c>
      <c r="AA169" t="s">
        <v>137</v>
      </c>
      <c r="AB169" t="b">
        <v>0</v>
      </c>
      <c r="AC169">
        <v>95.29</v>
      </c>
      <c r="AD169" t="b">
        <v>0</v>
      </c>
      <c r="AF169">
        <v>81.900000000000006</v>
      </c>
      <c r="AG169">
        <v>0.01</v>
      </c>
      <c r="AH169" t="s">
        <v>198</v>
      </c>
      <c r="AI169">
        <v>12</v>
      </c>
      <c r="AJ169">
        <v>1.2999999999999999E-2</v>
      </c>
      <c r="AK169" t="s">
        <v>126</v>
      </c>
      <c r="AL169" t="s">
        <v>126</v>
      </c>
      <c r="AM169" t="s">
        <v>126</v>
      </c>
      <c r="AN169">
        <v>3.55</v>
      </c>
      <c r="AO169" t="s">
        <v>126</v>
      </c>
      <c r="AP169" t="s">
        <v>126</v>
      </c>
    </row>
    <row r="170" spans="22:42" x14ac:dyDescent="0.35">
      <c r="V170">
        <v>105</v>
      </c>
      <c r="W170" s="1" t="s">
        <v>218</v>
      </c>
      <c r="X170" t="s">
        <v>137</v>
      </c>
      <c r="Y170" t="b">
        <v>1</v>
      </c>
      <c r="Z170">
        <v>95.29</v>
      </c>
      <c r="AA170" t="s">
        <v>138</v>
      </c>
      <c r="AB170" t="b">
        <v>1</v>
      </c>
      <c r="AC170">
        <v>94.83</v>
      </c>
      <c r="AD170" t="b">
        <v>0</v>
      </c>
      <c r="AF170">
        <v>37.6</v>
      </c>
      <c r="AG170">
        <v>1.2E-2</v>
      </c>
      <c r="AH170" t="s">
        <v>198</v>
      </c>
      <c r="AI170">
        <v>12</v>
      </c>
      <c r="AJ170">
        <v>1.2999999999999999E-2</v>
      </c>
      <c r="AK170" t="s">
        <v>126</v>
      </c>
      <c r="AL170" t="s">
        <v>126</v>
      </c>
      <c r="AM170" t="s">
        <v>126</v>
      </c>
      <c r="AN170">
        <v>3.94</v>
      </c>
      <c r="AO170" t="s">
        <v>126</v>
      </c>
      <c r="AP170" t="s">
        <v>126</v>
      </c>
    </row>
    <row r="171" spans="22:42" x14ac:dyDescent="0.35">
      <c r="V171">
        <v>106</v>
      </c>
      <c r="W171" s="1" t="s">
        <v>219</v>
      </c>
      <c r="X171" t="s">
        <v>139</v>
      </c>
      <c r="Y171" t="b">
        <v>1</v>
      </c>
      <c r="Z171">
        <v>96.1</v>
      </c>
      <c r="AA171" t="s">
        <v>140</v>
      </c>
      <c r="AB171" t="b">
        <v>0</v>
      </c>
      <c r="AC171">
        <v>94.81</v>
      </c>
      <c r="AD171" t="b">
        <v>0</v>
      </c>
      <c r="AF171">
        <v>81.2</v>
      </c>
      <c r="AG171">
        <v>1.6E-2</v>
      </c>
      <c r="AH171" t="s">
        <v>198</v>
      </c>
      <c r="AI171">
        <v>12</v>
      </c>
      <c r="AJ171">
        <v>1.2999999999999999E-2</v>
      </c>
      <c r="AK171" t="s">
        <v>126</v>
      </c>
      <c r="AL171" t="s">
        <v>126</v>
      </c>
      <c r="AM171" t="s">
        <v>126</v>
      </c>
      <c r="AN171">
        <v>4.5</v>
      </c>
      <c r="AO171" t="s">
        <v>126</v>
      </c>
      <c r="AP171" t="s">
        <v>126</v>
      </c>
    </row>
    <row r="172" spans="22:42" x14ac:dyDescent="0.35">
      <c r="V172">
        <v>107</v>
      </c>
      <c r="W172" s="1" t="s">
        <v>220</v>
      </c>
      <c r="X172" t="s">
        <v>140</v>
      </c>
      <c r="Y172" t="b">
        <v>1</v>
      </c>
      <c r="Z172">
        <v>94.81</v>
      </c>
      <c r="AA172" t="s">
        <v>141</v>
      </c>
      <c r="AB172" t="b">
        <v>0</v>
      </c>
      <c r="AC172">
        <v>93.95</v>
      </c>
      <c r="AD172" t="b">
        <v>0</v>
      </c>
      <c r="AF172">
        <v>58.4</v>
      </c>
      <c r="AG172">
        <v>1.4999999999999999E-2</v>
      </c>
      <c r="AH172" t="s">
        <v>198</v>
      </c>
      <c r="AI172">
        <v>12</v>
      </c>
      <c r="AJ172">
        <v>1.2999999999999999E-2</v>
      </c>
      <c r="AK172" t="s">
        <v>126</v>
      </c>
      <c r="AL172" t="s">
        <v>126</v>
      </c>
      <c r="AM172" t="s">
        <v>126</v>
      </c>
      <c r="AN172">
        <v>4.3099999999999996</v>
      </c>
      <c r="AO172" t="s">
        <v>126</v>
      </c>
      <c r="AP172" t="s">
        <v>126</v>
      </c>
    </row>
    <row r="173" spans="22:42" x14ac:dyDescent="0.35">
      <c r="V173">
        <v>108</v>
      </c>
      <c r="W173" s="1" t="s">
        <v>221</v>
      </c>
      <c r="X173" t="s">
        <v>141</v>
      </c>
      <c r="Y173" t="b">
        <v>1</v>
      </c>
      <c r="Z173">
        <v>93.95</v>
      </c>
      <c r="AA173" t="s">
        <v>142</v>
      </c>
      <c r="AB173" t="b">
        <v>0</v>
      </c>
      <c r="AC173">
        <v>93.13</v>
      </c>
      <c r="AD173" t="b">
        <v>0</v>
      </c>
      <c r="AF173">
        <v>56.4</v>
      </c>
      <c r="AG173">
        <v>1.4999999999999999E-2</v>
      </c>
      <c r="AH173" t="s">
        <v>198</v>
      </c>
      <c r="AI173">
        <v>12</v>
      </c>
      <c r="AJ173">
        <v>1.2999999999999999E-2</v>
      </c>
      <c r="AK173" t="s">
        <v>126</v>
      </c>
      <c r="AL173" t="s">
        <v>126</v>
      </c>
      <c r="AM173" t="s">
        <v>126</v>
      </c>
      <c r="AN173">
        <v>4.3099999999999996</v>
      </c>
      <c r="AO173" t="s">
        <v>126</v>
      </c>
      <c r="AP173" t="s">
        <v>126</v>
      </c>
    </row>
    <row r="174" spans="22:42" x14ac:dyDescent="0.35">
      <c r="V174">
        <v>109</v>
      </c>
      <c r="W174" s="1" t="s">
        <v>222</v>
      </c>
      <c r="X174" t="s">
        <v>146</v>
      </c>
      <c r="Y174" t="b">
        <v>1</v>
      </c>
      <c r="Z174">
        <v>96.1</v>
      </c>
      <c r="AA174" t="s">
        <v>147</v>
      </c>
      <c r="AB174" t="b">
        <v>0</v>
      </c>
      <c r="AC174">
        <v>94.8</v>
      </c>
      <c r="AD174" t="b">
        <v>0</v>
      </c>
      <c r="AF174">
        <v>83.3</v>
      </c>
      <c r="AG174">
        <v>1.6E-2</v>
      </c>
      <c r="AH174" t="s">
        <v>198</v>
      </c>
      <c r="AI174">
        <v>12</v>
      </c>
      <c r="AJ174">
        <v>1.2999999999999999E-2</v>
      </c>
      <c r="AK174" t="s">
        <v>126</v>
      </c>
      <c r="AL174" t="s">
        <v>126</v>
      </c>
      <c r="AM174" t="s">
        <v>126</v>
      </c>
      <c r="AN174">
        <v>4.46</v>
      </c>
      <c r="AO174" t="s">
        <v>126</v>
      </c>
      <c r="AP174" t="s">
        <v>126</v>
      </c>
    </row>
    <row r="175" spans="22:42" x14ac:dyDescent="0.35">
      <c r="V175">
        <v>110</v>
      </c>
      <c r="W175" s="1" t="s">
        <v>223</v>
      </c>
      <c r="X175" t="s">
        <v>147</v>
      </c>
      <c r="Y175" t="b">
        <v>1</v>
      </c>
      <c r="Z175">
        <v>94.8</v>
      </c>
      <c r="AA175" t="s">
        <v>149</v>
      </c>
      <c r="AB175" t="b">
        <v>0</v>
      </c>
      <c r="AC175">
        <v>94.06</v>
      </c>
      <c r="AD175" t="b">
        <v>0</v>
      </c>
      <c r="AF175">
        <v>52.1</v>
      </c>
      <c r="AG175">
        <v>1.4E-2</v>
      </c>
      <c r="AH175" t="s">
        <v>198</v>
      </c>
      <c r="AI175">
        <v>12</v>
      </c>
      <c r="AJ175">
        <v>1.2999999999999999E-2</v>
      </c>
      <c r="AK175" t="s">
        <v>126</v>
      </c>
      <c r="AL175" t="s">
        <v>126</v>
      </c>
      <c r="AM175" t="s">
        <v>126</v>
      </c>
      <c r="AN175">
        <v>4.24</v>
      </c>
      <c r="AO175" t="s">
        <v>126</v>
      </c>
      <c r="AP175" t="s">
        <v>126</v>
      </c>
    </row>
    <row r="176" spans="22:42" x14ac:dyDescent="0.35">
      <c r="V176">
        <v>111</v>
      </c>
      <c r="W176" s="1" t="s">
        <v>224</v>
      </c>
      <c r="X176" t="s">
        <v>149</v>
      </c>
      <c r="Y176" t="b">
        <v>1</v>
      </c>
      <c r="Z176">
        <v>94.06</v>
      </c>
      <c r="AA176" t="s">
        <v>151</v>
      </c>
      <c r="AB176" t="b">
        <v>0</v>
      </c>
      <c r="AC176">
        <v>93.24</v>
      </c>
      <c r="AD176" t="b">
        <v>0</v>
      </c>
      <c r="AF176">
        <v>59.8</v>
      </c>
      <c r="AG176">
        <v>1.4E-2</v>
      </c>
      <c r="AH176" t="s">
        <v>198</v>
      </c>
      <c r="AI176">
        <v>12</v>
      </c>
      <c r="AJ176">
        <v>1.2999999999999999E-2</v>
      </c>
      <c r="AK176" t="s">
        <v>126</v>
      </c>
      <c r="AL176" t="s">
        <v>126</v>
      </c>
      <c r="AM176" t="s">
        <v>126</v>
      </c>
      <c r="AN176">
        <v>4.1500000000000004</v>
      </c>
      <c r="AO176" t="s">
        <v>126</v>
      </c>
      <c r="AP176" t="s">
        <v>126</v>
      </c>
    </row>
    <row r="177" spans="22:42" x14ac:dyDescent="0.35">
      <c r="V177">
        <v>112</v>
      </c>
      <c r="W177" s="1" t="s">
        <v>225</v>
      </c>
      <c r="X177" t="s">
        <v>151</v>
      </c>
      <c r="Y177" t="b">
        <v>1</v>
      </c>
      <c r="Z177">
        <v>93.24</v>
      </c>
      <c r="AA177" t="s">
        <v>160</v>
      </c>
      <c r="AB177" t="b">
        <v>0</v>
      </c>
      <c r="AC177">
        <v>92.68</v>
      </c>
      <c r="AD177" t="b">
        <v>0</v>
      </c>
      <c r="AF177">
        <v>37.6</v>
      </c>
      <c r="AG177">
        <v>1.4999999999999999E-2</v>
      </c>
      <c r="AH177" t="s">
        <v>198</v>
      </c>
      <c r="AI177">
        <v>12</v>
      </c>
      <c r="AJ177">
        <v>1.2999999999999999E-2</v>
      </c>
      <c r="AK177" t="s">
        <v>126</v>
      </c>
      <c r="AL177" t="s">
        <v>126</v>
      </c>
      <c r="AM177" t="s">
        <v>126</v>
      </c>
      <c r="AN177">
        <v>4.38</v>
      </c>
      <c r="AO177" t="s">
        <v>126</v>
      </c>
      <c r="AP177" t="s">
        <v>126</v>
      </c>
    </row>
    <row r="178" spans="22:42" x14ac:dyDescent="0.35">
      <c r="V178">
        <v>113</v>
      </c>
      <c r="W178" s="1" t="s">
        <v>226</v>
      </c>
      <c r="X178" t="s">
        <v>160</v>
      </c>
      <c r="Y178" t="b">
        <v>1</v>
      </c>
      <c r="Z178">
        <v>87.58</v>
      </c>
      <c r="AA178" t="s">
        <v>161</v>
      </c>
      <c r="AB178" t="b">
        <v>0</v>
      </c>
      <c r="AC178">
        <v>85.42</v>
      </c>
      <c r="AD178" t="b">
        <v>0</v>
      </c>
      <c r="AF178">
        <v>147.5</v>
      </c>
      <c r="AG178">
        <v>1.4999999999999999E-2</v>
      </c>
      <c r="AH178" t="s">
        <v>198</v>
      </c>
      <c r="AI178">
        <v>12</v>
      </c>
      <c r="AJ178">
        <v>1.2999999999999999E-2</v>
      </c>
      <c r="AK178" t="s">
        <v>126</v>
      </c>
      <c r="AL178" t="s">
        <v>126</v>
      </c>
      <c r="AM178" t="s">
        <v>126</v>
      </c>
      <c r="AN178">
        <v>4.3099999999999996</v>
      </c>
      <c r="AO178" t="s">
        <v>126</v>
      </c>
      <c r="AP178" t="s">
        <v>126</v>
      </c>
    </row>
    <row r="179" spans="22:42" x14ac:dyDescent="0.35">
      <c r="V179">
        <v>114</v>
      </c>
      <c r="W179" s="1" t="s">
        <v>227</v>
      </c>
      <c r="X179" t="s">
        <v>161</v>
      </c>
      <c r="Y179" t="b">
        <v>1</v>
      </c>
      <c r="Z179">
        <v>85.17</v>
      </c>
      <c r="AA179" t="s">
        <v>162</v>
      </c>
      <c r="AB179" t="b">
        <v>0</v>
      </c>
      <c r="AC179">
        <v>83.7</v>
      </c>
      <c r="AD179" t="b">
        <v>0</v>
      </c>
      <c r="AF179">
        <v>151.4</v>
      </c>
      <c r="AG179">
        <v>0.01</v>
      </c>
      <c r="AH179" t="s">
        <v>198</v>
      </c>
      <c r="AI179">
        <v>12</v>
      </c>
      <c r="AJ179">
        <v>1.2999999999999999E-2</v>
      </c>
      <c r="AK179" t="s">
        <v>126</v>
      </c>
      <c r="AL179" t="s">
        <v>126</v>
      </c>
      <c r="AM179" t="s">
        <v>126</v>
      </c>
      <c r="AN179">
        <v>3.51</v>
      </c>
      <c r="AO179" t="s">
        <v>126</v>
      </c>
      <c r="AP179" t="s">
        <v>126</v>
      </c>
    </row>
    <row r="180" spans="22:42" x14ac:dyDescent="0.35">
      <c r="V180">
        <v>115</v>
      </c>
      <c r="W180" s="1" t="s">
        <v>228</v>
      </c>
      <c r="X180" t="s">
        <v>154</v>
      </c>
      <c r="Y180" t="b">
        <v>1</v>
      </c>
      <c r="Z180">
        <v>96.1</v>
      </c>
      <c r="AA180" t="s">
        <v>155</v>
      </c>
      <c r="AB180" t="b">
        <v>0</v>
      </c>
      <c r="AC180">
        <v>94.92</v>
      </c>
      <c r="AD180" t="b">
        <v>0</v>
      </c>
      <c r="AF180">
        <v>82.6</v>
      </c>
      <c r="AG180">
        <v>1.4E-2</v>
      </c>
      <c r="AH180" t="s">
        <v>198</v>
      </c>
      <c r="AI180">
        <v>12</v>
      </c>
      <c r="AJ180">
        <v>1.2999999999999999E-2</v>
      </c>
      <c r="AK180" t="s">
        <v>126</v>
      </c>
      <c r="AL180" t="s">
        <v>126</v>
      </c>
      <c r="AM180" t="s">
        <v>126</v>
      </c>
      <c r="AN180">
        <v>4.2699999999999996</v>
      </c>
      <c r="AO180" t="s">
        <v>126</v>
      </c>
      <c r="AP180" t="s">
        <v>126</v>
      </c>
    </row>
    <row r="181" spans="22:42" x14ac:dyDescent="0.35">
      <c r="V181">
        <v>116</v>
      </c>
      <c r="W181" s="1" t="s">
        <v>229</v>
      </c>
      <c r="X181" t="s">
        <v>155</v>
      </c>
      <c r="Y181" t="b">
        <v>1</v>
      </c>
      <c r="Z181">
        <v>94.92</v>
      </c>
      <c r="AA181" t="s">
        <v>156</v>
      </c>
      <c r="AB181" t="b">
        <v>0</v>
      </c>
      <c r="AC181">
        <v>94.2</v>
      </c>
      <c r="AD181" t="b">
        <v>0</v>
      </c>
      <c r="AF181">
        <v>48.7</v>
      </c>
      <c r="AG181">
        <v>1.4999999999999999E-2</v>
      </c>
      <c r="AH181" t="s">
        <v>198</v>
      </c>
      <c r="AI181">
        <v>12</v>
      </c>
      <c r="AJ181">
        <v>1.2999999999999999E-2</v>
      </c>
      <c r="AK181" t="s">
        <v>126</v>
      </c>
      <c r="AL181" t="s">
        <v>126</v>
      </c>
      <c r="AM181" t="s">
        <v>126</v>
      </c>
      <c r="AN181">
        <v>4.3099999999999996</v>
      </c>
      <c r="AO181" t="s">
        <v>126</v>
      </c>
      <c r="AP181" t="s">
        <v>126</v>
      </c>
    </row>
    <row r="182" spans="22:42" x14ac:dyDescent="0.35">
      <c r="V182">
        <v>117</v>
      </c>
      <c r="W182" s="1" t="s">
        <v>230</v>
      </c>
      <c r="X182" t="s">
        <v>156</v>
      </c>
      <c r="Y182" t="b">
        <v>1</v>
      </c>
      <c r="Z182">
        <v>94.2</v>
      </c>
      <c r="AA182" t="s">
        <v>157</v>
      </c>
      <c r="AB182" t="b">
        <v>0</v>
      </c>
      <c r="AC182">
        <v>93.51</v>
      </c>
      <c r="AD182" t="b">
        <v>0</v>
      </c>
      <c r="AF182">
        <v>43.1</v>
      </c>
      <c r="AG182">
        <v>1.6E-2</v>
      </c>
      <c r="AH182" t="s">
        <v>198</v>
      </c>
      <c r="AI182">
        <v>12</v>
      </c>
      <c r="AJ182">
        <v>1.2999999999999999E-2</v>
      </c>
      <c r="AK182" t="s">
        <v>126</v>
      </c>
      <c r="AL182" t="s">
        <v>126</v>
      </c>
      <c r="AM182" t="s">
        <v>126</v>
      </c>
      <c r="AN182">
        <v>4.51</v>
      </c>
      <c r="AO182" t="s">
        <v>126</v>
      </c>
      <c r="AP182" t="s">
        <v>126</v>
      </c>
    </row>
    <row r="183" spans="22:42" x14ac:dyDescent="0.35">
      <c r="V183">
        <v>118</v>
      </c>
      <c r="W183" s="1" t="s">
        <v>231</v>
      </c>
      <c r="X183" t="s">
        <v>157</v>
      </c>
      <c r="Y183" t="b">
        <v>1</v>
      </c>
      <c r="Z183">
        <v>93.51</v>
      </c>
      <c r="AA183" t="s">
        <v>158</v>
      </c>
      <c r="AB183" t="b">
        <v>0</v>
      </c>
      <c r="AC183">
        <v>92.32</v>
      </c>
      <c r="AD183" t="b">
        <v>0</v>
      </c>
      <c r="AF183">
        <v>81.900000000000006</v>
      </c>
      <c r="AG183">
        <v>1.4999999999999999E-2</v>
      </c>
      <c r="AH183" t="s">
        <v>198</v>
      </c>
      <c r="AI183">
        <v>12</v>
      </c>
      <c r="AJ183">
        <v>1.2999999999999999E-2</v>
      </c>
      <c r="AK183" t="s">
        <v>126</v>
      </c>
      <c r="AL183" t="s">
        <v>126</v>
      </c>
      <c r="AM183" t="s">
        <v>126</v>
      </c>
      <c r="AN183">
        <v>4.3</v>
      </c>
      <c r="AO183" t="s">
        <v>126</v>
      </c>
      <c r="AP183" t="s">
        <v>126</v>
      </c>
    </row>
    <row r="184" spans="22:42" x14ac:dyDescent="0.35">
      <c r="V184">
        <v>119</v>
      </c>
      <c r="W184" s="1" t="s">
        <v>232</v>
      </c>
      <c r="X184" t="s">
        <v>158</v>
      </c>
      <c r="Y184" t="b">
        <v>1</v>
      </c>
      <c r="Z184">
        <v>92.32</v>
      </c>
      <c r="AA184" t="s">
        <v>159</v>
      </c>
      <c r="AB184" t="b">
        <v>0</v>
      </c>
      <c r="AC184">
        <v>91.09</v>
      </c>
      <c r="AD184" t="b">
        <v>0</v>
      </c>
      <c r="AF184">
        <v>83.9</v>
      </c>
      <c r="AG184">
        <v>1.4999999999999999E-2</v>
      </c>
      <c r="AH184" t="s">
        <v>198</v>
      </c>
      <c r="AI184">
        <v>12</v>
      </c>
      <c r="AJ184">
        <v>1.2999999999999999E-2</v>
      </c>
      <c r="AK184" t="s">
        <v>126</v>
      </c>
      <c r="AL184" t="s">
        <v>126</v>
      </c>
      <c r="AM184" t="s">
        <v>126</v>
      </c>
      <c r="AN184">
        <v>4.32</v>
      </c>
      <c r="AO184" t="s">
        <v>126</v>
      </c>
      <c r="AP184" t="s">
        <v>126</v>
      </c>
    </row>
    <row r="185" spans="22:42" x14ac:dyDescent="0.35">
      <c r="V185">
        <v>120</v>
      </c>
      <c r="W185" s="1" t="s">
        <v>233</v>
      </c>
      <c r="X185" t="s">
        <v>159</v>
      </c>
      <c r="Y185" t="b">
        <v>1</v>
      </c>
      <c r="Z185">
        <v>91.09</v>
      </c>
      <c r="AA185" t="s">
        <v>160</v>
      </c>
      <c r="AB185" t="b">
        <v>0</v>
      </c>
      <c r="AC185">
        <v>87.58</v>
      </c>
      <c r="AD185" t="b">
        <v>0</v>
      </c>
      <c r="AF185">
        <v>235.8</v>
      </c>
      <c r="AG185">
        <v>1.4999999999999999E-2</v>
      </c>
      <c r="AH185" t="s">
        <v>198</v>
      </c>
      <c r="AI185">
        <v>12</v>
      </c>
      <c r="AJ185">
        <v>1.2999999999999999E-2</v>
      </c>
      <c r="AK185" t="s">
        <v>126</v>
      </c>
      <c r="AL185" t="s">
        <v>126</v>
      </c>
      <c r="AM185" t="s">
        <v>126</v>
      </c>
      <c r="AN185">
        <v>4.34</v>
      </c>
      <c r="AO185" t="s">
        <v>126</v>
      </c>
      <c r="AP185" t="s">
        <v>126</v>
      </c>
    </row>
    <row r="186" spans="22:42" x14ac:dyDescent="0.35">
      <c r="V186">
        <v>121</v>
      </c>
      <c r="W186" s="1" t="s">
        <v>234</v>
      </c>
      <c r="X186" t="s">
        <v>166</v>
      </c>
      <c r="Y186" t="b">
        <v>1</v>
      </c>
      <c r="Z186">
        <v>96.1</v>
      </c>
      <c r="AA186" t="s">
        <v>167</v>
      </c>
      <c r="AB186" t="b">
        <v>0</v>
      </c>
      <c r="AC186">
        <v>94.11</v>
      </c>
      <c r="AD186" t="b">
        <v>0</v>
      </c>
      <c r="AF186">
        <v>132.19999999999999</v>
      </c>
      <c r="AG186">
        <v>1.4999999999999999E-2</v>
      </c>
      <c r="AH186" t="s">
        <v>198</v>
      </c>
      <c r="AI186">
        <v>12</v>
      </c>
      <c r="AJ186">
        <v>1.2999999999999999E-2</v>
      </c>
      <c r="AK186" t="s">
        <v>126</v>
      </c>
      <c r="AL186" t="s">
        <v>126</v>
      </c>
      <c r="AM186" t="s">
        <v>126</v>
      </c>
      <c r="AN186">
        <v>4.38</v>
      </c>
      <c r="AO186" t="s">
        <v>126</v>
      </c>
      <c r="AP186" t="s">
        <v>126</v>
      </c>
    </row>
    <row r="187" spans="22:42" x14ac:dyDescent="0.35">
      <c r="V187">
        <v>122</v>
      </c>
      <c r="W187" s="1" t="s">
        <v>235</v>
      </c>
      <c r="X187" t="s">
        <v>167</v>
      </c>
      <c r="Y187" t="b">
        <v>1</v>
      </c>
      <c r="Z187">
        <v>94.11</v>
      </c>
      <c r="AA187" t="s">
        <v>168</v>
      </c>
      <c r="AB187" t="b">
        <v>0</v>
      </c>
      <c r="AC187">
        <v>92.19</v>
      </c>
      <c r="AD187" t="b">
        <v>0</v>
      </c>
      <c r="AF187">
        <v>138.30000000000001</v>
      </c>
      <c r="AG187">
        <v>1.4E-2</v>
      </c>
      <c r="AH187" t="s">
        <v>198</v>
      </c>
      <c r="AI187">
        <v>12</v>
      </c>
      <c r="AJ187">
        <v>1.2999999999999999E-2</v>
      </c>
      <c r="AK187" t="s">
        <v>126</v>
      </c>
      <c r="AL187" t="s">
        <v>126</v>
      </c>
      <c r="AM187" t="s">
        <v>126</v>
      </c>
      <c r="AN187">
        <v>4.1900000000000004</v>
      </c>
      <c r="AO187" t="s">
        <v>126</v>
      </c>
      <c r="AP187" t="s">
        <v>126</v>
      </c>
    </row>
    <row r="188" spans="22:42" x14ac:dyDescent="0.35">
      <c r="V188">
        <v>123</v>
      </c>
      <c r="W188" s="1" t="s">
        <v>236</v>
      </c>
      <c r="X188" t="s">
        <v>168</v>
      </c>
      <c r="Y188" t="b">
        <v>1</v>
      </c>
      <c r="Z188">
        <v>92.19</v>
      </c>
      <c r="AA188" t="s">
        <v>175</v>
      </c>
      <c r="AB188" t="b">
        <v>0</v>
      </c>
      <c r="AC188">
        <v>91.7</v>
      </c>
      <c r="AD188" t="b">
        <v>0</v>
      </c>
      <c r="AF188">
        <v>69</v>
      </c>
      <c r="AG188">
        <v>7.0000000000000001E-3</v>
      </c>
      <c r="AH188" t="s">
        <v>198</v>
      </c>
      <c r="AI188">
        <v>12</v>
      </c>
      <c r="AJ188">
        <v>1.2999999999999999E-2</v>
      </c>
      <c r="AK188" t="s">
        <v>126</v>
      </c>
      <c r="AL188" t="s">
        <v>126</v>
      </c>
      <c r="AM188" t="s">
        <v>126</v>
      </c>
      <c r="AN188">
        <v>3.02</v>
      </c>
      <c r="AO188" t="s">
        <v>126</v>
      </c>
      <c r="AP188" t="s">
        <v>126</v>
      </c>
    </row>
    <row r="189" spans="22:42" x14ac:dyDescent="0.35">
      <c r="V189">
        <v>125</v>
      </c>
      <c r="W189" s="1" t="s">
        <v>237</v>
      </c>
      <c r="X189" t="s">
        <v>172</v>
      </c>
      <c r="Y189" t="b">
        <v>1</v>
      </c>
      <c r="Z189">
        <v>96.1</v>
      </c>
      <c r="AA189" t="s">
        <v>173</v>
      </c>
      <c r="AB189" t="b">
        <v>0</v>
      </c>
      <c r="AC189">
        <v>94.17</v>
      </c>
      <c r="AD189" t="b">
        <v>0</v>
      </c>
      <c r="AF189">
        <v>128.6</v>
      </c>
      <c r="AG189">
        <v>1.4999999999999999E-2</v>
      </c>
      <c r="AH189" t="s">
        <v>198</v>
      </c>
      <c r="AI189">
        <v>12</v>
      </c>
      <c r="AJ189">
        <v>1.2999999999999999E-2</v>
      </c>
      <c r="AK189" t="s">
        <v>126</v>
      </c>
      <c r="AL189" t="s">
        <v>126</v>
      </c>
      <c r="AM189" t="s">
        <v>126</v>
      </c>
      <c r="AN189">
        <v>4.37</v>
      </c>
      <c r="AO189" t="s">
        <v>126</v>
      </c>
      <c r="AP189" t="s">
        <v>126</v>
      </c>
    </row>
    <row r="190" spans="22:42" x14ac:dyDescent="0.35">
      <c r="V190">
        <v>126</v>
      </c>
      <c r="W190" s="1" t="s">
        <v>238</v>
      </c>
      <c r="X190" t="s">
        <v>173</v>
      </c>
      <c r="Y190" t="b">
        <v>1</v>
      </c>
      <c r="Z190">
        <v>94.17</v>
      </c>
      <c r="AA190" t="s">
        <v>174</v>
      </c>
      <c r="AB190" t="b">
        <v>0</v>
      </c>
      <c r="AC190">
        <v>93.48</v>
      </c>
      <c r="AD190" t="b">
        <v>0</v>
      </c>
      <c r="AF190">
        <v>46.8</v>
      </c>
      <c r="AG190">
        <v>1.4999999999999999E-2</v>
      </c>
      <c r="AH190" t="s">
        <v>198</v>
      </c>
      <c r="AI190">
        <v>12</v>
      </c>
      <c r="AJ190">
        <v>1.2999999999999999E-2</v>
      </c>
      <c r="AK190" t="s">
        <v>126</v>
      </c>
      <c r="AL190" t="s">
        <v>126</v>
      </c>
      <c r="AM190" t="s">
        <v>126</v>
      </c>
      <c r="AN190">
        <v>4.32</v>
      </c>
      <c r="AO190" t="s">
        <v>126</v>
      </c>
      <c r="AP190" t="s">
        <v>126</v>
      </c>
    </row>
    <row r="191" spans="22:42" x14ac:dyDescent="0.35">
      <c r="V191">
        <v>127</v>
      </c>
      <c r="W191" s="1" t="s">
        <v>239</v>
      </c>
      <c r="X191" t="s">
        <v>176</v>
      </c>
      <c r="Y191" t="b">
        <v>1</v>
      </c>
      <c r="Z191">
        <v>82.05</v>
      </c>
      <c r="AA191" t="s">
        <v>177</v>
      </c>
      <c r="AB191" t="b">
        <v>0</v>
      </c>
      <c r="AC191">
        <v>81.06</v>
      </c>
      <c r="AD191" t="b">
        <v>0</v>
      </c>
      <c r="AF191">
        <v>160.19999999999999</v>
      </c>
      <c r="AG191">
        <v>6.0000000000000001E-3</v>
      </c>
      <c r="AH191" t="s">
        <v>198</v>
      </c>
      <c r="AI191">
        <v>12</v>
      </c>
      <c r="AJ191">
        <v>1.2999999999999999E-2</v>
      </c>
      <c r="AK191" t="s">
        <v>126</v>
      </c>
      <c r="AL191" t="s">
        <v>126</v>
      </c>
      <c r="AM191" t="s">
        <v>126</v>
      </c>
      <c r="AN191">
        <v>2.8</v>
      </c>
      <c r="AO191" t="s">
        <v>126</v>
      </c>
      <c r="AP191" t="s">
        <v>126</v>
      </c>
    </row>
    <row r="192" spans="22:42" x14ac:dyDescent="0.35">
      <c r="V192">
        <v>133</v>
      </c>
      <c r="W192" s="1" t="s">
        <v>240</v>
      </c>
      <c r="X192" t="s">
        <v>128</v>
      </c>
      <c r="Y192" t="b">
        <v>1</v>
      </c>
      <c r="Z192">
        <v>96.1</v>
      </c>
      <c r="AA192" t="s">
        <v>129</v>
      </c>
      <c r="AB192" t="b">
        <v>0</v>
      </c>
      <c r="AC192">
        <v>94.84</v>
      </c>
      <c r="AD192" t="b">
        <v>0</v>
      </c>
      <c r="AF192">
        <v>75.099999999999994</v>
      </c>
      <c r="AG192">
        <v>1.7000000000000001E-2</v>
      </c>
      <c r="AH192" t="s">
        <v>198</v>
      </c>
      <c r="AI192">
        <v>12</v>
      </c>
      <c r="AJ192">
        <v>1.2999999999999999E-2</v>
      </c>
      <c r="AK192" t="s">
        <v>126</v>
      </c>
      <c r="AL192" t="s">
        <v>126</v>
      </c>
      <c r="AM192" t="s">
        <v>126</v>
      </c>
      <c r="AN192">
        <v>4.63</v>
      </c>
      <c r="AO192" t="s">
        <v>126</v>
      </c>
      <c r="AP192" t="s">
        <v>126</v>
      </c>
    </row>
    <row r="193" spans="22:42" x14ac:dyDescent="0.35">
      <c r="V193">
        <v>134</v>
      </c>
      <c r="W193" s="1" t="s">
        <v>241</v>
      </c>
      <c r="X193" t="s">
        <v>130</v>
      </c>
      <c r="Y193" t="b">
        <v>1</v>
      </c>
      <c r="Z193">
        <v>96.1</v>
      </c>
      <c r="AA193" t="s">
        <v>131</v>
      </c>
      <c r="AB193" t="b">
        <v>0</v>
      </c>
      <c r="AC193">
        <v>95.47</v>
      </c>
      <c r="AD193" t="b">
        <v>0</v>
      </c>
      <c r="AF193">
        <v>42.8</v>
      </c>
      <c r="AG193">
        <v>1.4999999999999999E-2</v>
      </c>
      <c r="AH193" t="s">
        <v>198</v>
      </c>
      <c r="AI193">
        <v>12</v>
      </c>
      <c r="AJ193">
        <v>1.2999999999999999E-2</v>
      </c>
      <c r="AK193" t="s">
        <v>126</v>
      </c>
      <c r="AL193" t="s">
        <v>126</v>
      </c>
      <c r="AM193" t="s">
        <v>126</v>
      </c>
      <c r="AN193">
        <v>4.3499999999999996</v>
      </c>
      <c r="AO193" t="s">
        <v>126</v>
      </c>
      <c r="AP193" t="s">
        <v>126</v>
      </c>
    </row>
    <row r="194" spans="22:42" x14ac:dyDescent="0.35">
      <c r="V194">
        <v>135</v>
      </c>
      <c r="W194" s="1" t="s">
        <v>242</v>
      </c>
      <c r="X194" t="s">
        <v>163</v>
      </c>
      <c r="Y194" t="b">
        <v>1</v>
      </c>
      <c r="Z194">
        <v>96.1</v>
      </c>
      <c r="AA194" t="s">
        <v>164</v>
      </c>
      <c r="AB194" t="b">
        <v>0</v>
      </c>
      <c r="AC194">
        <v>93.67</v>
      </c>
      <c r="AD194" t="b">
        <v>0</v>
      </c>
      <c r="AF194">
        <v>159.5</v>
      </c>
      <c r="AG194">
        <v>1.4999999999999999E-2</v>
      </c>
      <c r="AH194" t="s">
        <v>198</v>
      </c>
      <c r="AI194">
        <v>12</v>
      </c>
      <c r="AJ194">
        <v>1.2999999999999999E-2</v>
      </c>
      <c r="AK194" t="s">
        <v>126</v>
      </c>
      <c r="AL194" t="s">
        <v>126</v>
      </c>
      <c r="AM194" t="s">
        <v>126</v>
      </c>
      <c r="AN194">
        <v>4.4000000000000004</v>
      </c>
      <c r="AO194" t="s">
        <v>126</v>
      </c>
      <c r="AP194" t="s">
        <v>126</v>
      </c>
    </row>
    <row r="195" spans="22:42" x14ac:dyDescent="0.35">
      <c r="V195">
        <v>136</v>
      </c>
      <c r="W195" s="1" t="s">
        <v>243</v>
      </c>
      <c r="X195" t="s">
        <v>165</v>
      </c>
      <c r="Y195" t="b">
        <v>1</v>
      </c>
      <c r="Z195">
        <v>96.1</v>
      </c>
      <c r="AA195" t="s">
        <v>175</v>
      </c>
      <c r="AB195" t="b">
        <v>0</v>
      </c>
      <c r="AC195">
        <v>94.68</v>
      </c>
      <c r="AD195" t="b">
        <v>0</v>
      </c>
      <c r="AF195">
        <v>112.4</v>
      </c>
      <c r="AG195">
        <v>1.2999999999999999E-2</v>
      </c>
      <c r="AH195" t="s">
        <v>198</v>
      </c>
      <c r="AI195">
        <v>12</v>
      </c>
      <c r="AJ195">
        <v>1.2999999999999999E-2</v>
      </c>
      <c r="AK195" t="s">
        <v>126</v>
      </c>
      <c r="AL195" t="s">
        <v>126</v>
      </c>
      <c r="AM195" t="s">
        <v>126</v>
      </c>
      <c r="AN195">
        <v>4.01</v>
      </c>
      <c r="AO195" t="s">
        <v>126</v>
      </c>
      <c r="AP195" t="s">
        <v>126</v>
      </c>
    </row>
    <row r="196" spans="22:42" x14ac:dyDescent="0.35">
      <c r="V196">
        <v>137</v>
      </c>
      <c r="W196" s="1" t="s">
        <v>244</v>
      </c>
      <c r="X196" t="s">
        <v>150</v>
      </c>
      <c r="Y196" t="b">
        <v>1</v>
      </c>
      <c r="Z196">
        <v>96.1</v>
      </c>
      <c r="AA196" t="s">
        <v>151</v>
      </c>
      <c r="AB196" t="b">
        <v>0</v>
      </c>
      <c r="AC196">
        <v>94.84</v>
      </c>
      <c r="AD196" t="b">
        <v>0</v>
      </c>
      <c r="AF196">
        <v>82.7</v>
      </c>
      <c r="AG196">
        <v>1.4999999999999999E-2</v>
      </c>
      <c r="AH196" t="s">
        <v>198</v>
      </c>
      <c r="AI196">
        <v>12</v>
      </c>
      <c r="AJ196">
        <v>1.2999999999999999E-2</v>
      </c>
      <c r="AK196" t="s">
        <v>126</v>
      </c>
      <c r="AL196" t="s">
        <v>126</v>
      </c>
      <c r="AM196" t="s">
        <v>126</v>
      </c>
      <c r="AN196">
        <v>4.4000000000000004</v>
      </c>
      <c r="AO196" t="s">
        <v>126</v>
      </c>
      <c r="AP196" t="s">
        <v>126</v>
      </c>
    </row>
    <row r="197" spans="22:42" x14ac:dyDescent="0.35">
      <c r="V197">
        <v>138</v>
      </c>
      <c r="W197" s="1" t="s">
        <v>245</v>
      </c>
      <c r="X197" t="s">
        <v>148</v>
      </c>
      <c r="Y197" t="b">
        <v>1</v>
      </c>
      <c r="Z197">
        <v>96.1</v>
      </c>
      <c r="AA197" t="s">
        <v>149</v>
      </c>
      <c r="AB197" t="b">
        <v>0</v>
      </c>
      <c r="AC197">
        <v>94.84</v>
      </c>
      <c r="AD197" t="b">
        <v>0</v>
      </c>
      <c r="AF197">
        <v>82.7</v>
      </c>
      <c r="AG197">
        <v>1.4999999999999999E-2</v>
      </c>
      <c r="AH197" t="s">
        <v>198</v>
      </c>
      <c r="AI197">
        <v>12</v>
      </c>
      <c r="AJ197">
        <v>1.2999999999999999E-2</v>
      </c>
      <c r="AK197" t="s">
        <v>126</v>
      </c>
      <c r="AL197" t="s">
        <v>126</v>
      </c>
      <c r="AM197" t="s">
        <v>126</v>
      </c>
      <c r="AN197">
        <v>4.41</v>
      </c>
      <c r="AO197" t="s">
        <v>126</v>
      </c>
      <c r="AP197" t="s">
        <v>126</v>
      </c>
    </row>
    <row r="198" spans="22:42" x14ac:dyDescent="0.35">
      <c r="V198">
        <v>139</v>
      </c>
      <c r="W198" s="1" t="s">
        <v>246</v>
      </c>
      <c r="X198" t="s">
        <v>152</v>
      </c>
      <c r="Y198" t="b">
        <v>1</v>
      </c>
      <c r="Z198">
        <v>96.1</v>
      </c>
      <c r="AA198" t="s">
        <v>157</v>
      </c>
      <c r="AB198" t="b">
        <v>0</v>
      </c>
      <c r="AC198">
        <v>94.87</v>
      </c>
      <c r="AD198" t="b">
        <v>0</v>
      </c>
      <c r="AF198">
        <v>84.5</v>
      </c>
      <c r="AG198">
        <v>1.4999999999999999E-2</v>
      </c>
      <c r="AH198" t="s">
        <v>198</v>
      </c>
      <c r="AI198">
        <v>12</v>
      </c>
      <c r="AJ198">
        <v>1.2999999999999999E-2</v>
      </c>
      <c r="AK198" t="s">
        <v>126</v>
      </c>
      <c r="AL198" t="s">
        <v>126</v>
      </c>
      <c r="AM198" t="s">
        <v>126</v>
      </c>
      <c r="AN198">
        <v>4.3</v>
      </c>
      <c r="AO198" t="s">
        <v>126</v>
      </c>
      <c r="AP198" t="s">
        <v>126</v>
      </c>
    </row>
    <row r="199" spans="22:42" x14ac:dyDescent="0.35">
      <c r="V199">
        <v>140</v>
      </c>
      <c r="W199" s="1" t="s">
        <v>247</v>
      </c>
      <c r="X199" t="s">
        <v>153</v>
      </c>
      <c r="Y199" t="b">
        <v>1</v>
      </c>
      <c r="Z199">
        <v>96.1</v>
      </c>
      <c r="AA199" t="s">
        <v>156</v>
      </c>
      <c r="AB199" t="b">
        <v>0</v>
      </c>
      <c r="AC199">
        <v>94.94</v>
      </c>
      <c r="AD199" t="b">
        <v>0</v>
      </c>
      <c r="AF199">
        <v>83.3</v>
      </c>
      <c r="AG199">
        <v>1.4E-2</v>
      </c>
      <c r="AH199" t="s">
        <v>198</v>
      </c>
      <c r="AI199">
        <v>12</v>
      </c>
      <c r="AJ199">
        <v>1.2999999999999999E-2</v>
      </c>
      <c r="AK199" t="s">
        <v>126</v>
      </c>
      <c r="AL199" t="s">
        <v>126</v>
      </c>
      <c r="AM199" t="s">
        <v>126</v>
      </c>
      <c r="AN199">
        <v>4.21</v>
      </c>
      <c r="AO199" t="s">
        <v>126</v>
      </c>
      <c r="AP199" t="s">
        <v>126</v>
      </c>
    </row>
    <row r="200" spans="22:42" x14ac:dyDescent="0.35">
      <c r="V200">
        <v>211</v>
      </c>
      <c r="W200" s="1" t="s">
        <v>248</v>
      </c>
      <c r="X200" t="s">
        <v>177</v>
      </c>
      <c r="Y200" t="b">
        <v>1</v>
      </c>
      <c r="Z200">
        <v>81.06</v>
      </c>
      <c r="AA200" t="s">
        <v>249</v>
      </c>
      <c r="AB200" t="b">
        <v>0</v>
      </c>
      <c r="AC200">
        <v>80.81</v>
      </c>
      <c r="AD200" t="b">
        <v>0</v>
      </c>
      <c r="AF200">
        <v>34.4</v>
      </c>
      <c r="AG200">
        <v>7.0000000000000001E-3</v>
      </c>
      <c r="AH200" t="s">
        <v>198</v>
      </c>
      <c r="AI200">
        <v>12</v>
      </c>
      <c r="AJ200">
        <v>1.2999999999999999E-2</v>
      </c>
      <c r="AK200" t="s">
        <v>126</v>
      </c>
      <c r="AL200" t="s">
        <v>126</v>
      </c>
      <c r="AM200" t="s">
        <v>126</v>
      </c>
      <c r="AN200">
        <v>3.07</v>
      </c>
      <c r="AO200" t="s">
        <v>126</v>
      </c>
      <c r="AP200" t="s">
        <v>126</v>
      </c>
    </row>
    <row r="202" spans="22:42" x14ac:dyDescent="0.35">
      <c r="Y202" s="73" t="s">
        <v>259</v>
      </c>
      <c r="Z202" s="73"/>
      <c r="AA202" s="73"/>
      <c r="AB202" s="73"/>
    </row>
    <row r="203" spans="22:42" x14ac:dyDescent="0.35">
      <c r="V203" t="s">
        <v>106</v>
      </c>
      <c r="W203" s="1" t="s">
        <v>107</v>
      </c>
      <c r="X203" t="s">
        <v>108</v>
      </c>
      <c r="Y203" t="s">
        <v>109</v>
      </c>
      <c r="Z203" t="s">
        <v>112</v>
      </c>
      <c r="AA203" t="s">
        <v>250</v>
      </c>
      <c r="AB203" t="s">
        <v>251</v>
      </c>
      <c r="AC203" t="s">
        <v>252</v>
      </c>
      <c r="AD203" t="s">
        <v>253</v>
      </c>
      <c r="AE203" t="s">
        <v>254</v>
      </c>
      <c r="AF203" t="s">
        <v>255</v>
      </c>
      <c r="AG203" t="s">
        <v>256</v>
      </c>
      <c r="AH203" t="s">
        <v>257</v>
      </c>
      <c r="AI203" t="s">
        <v>115</v>
      </c>
      <c r="AJ203" t="s">
        <v>123</v>
      </c>
    </row>
    <row r="204" spans="22:42" x14ac:dyDescent="0.35">
      <c r="V204">
        <v>210</v>
      </c>
      <c r="W204" s="1" t="s">
        <v>249</v>
      </c>
      <c r="X204">
        <v>100</v>
      </c>
      <c r="Y204" t="b">
        <v>1</v>
      </c>
      <c r="Z204">
        <v>70</v>
      </c>
      <c r="AA204" t="s">
        <v>258</v>
      </c>
      <c r="AD204" t="s">
        <v>125</v>
      </c>
      <c r="AE204" t="s">
        <v>125</v>
      </c>
      <c r="AF204" t="s">
        <v>125</v>
      </c>
      <c r="AG204" t="b">
        <v>0</v>
      </c>
      <c r="AH204" t="s">
        <v>126</v>
      </c>
      <c r="AI204" t="s">
        <v>126</v>
      </c>
    </row>
  </sheetData>
  <mergeCells count="26">
    <mergeCell ref="Y202:AB202"/>
    <mergeCell ref="AJ5:AJ7"/>
    <mergeCell ref="V5:V6"/>
    <mergeCell ref="W5:W6"/>
    <mergeCell ref="AF5:AG5"/>
    <mergeCell ref="AH5:AI5"/>
    <mergeCell ref="X5:X6"/>
    <mergeCell ref="Y5:Y6"/>
    <mergeCell ref="Z5:Z6"/>
    <mergeCell ref="AA5:AA6"/>
    <mergeCell ref="AB5:AB6"/>
    <mergeCell ref="AC5:AC6"/>
    <mergeCell ref="AD5:AD6"/>
    <mergeCell ref="AE5:AE6"/>
    <mergeCell ref="C5:D5"/>
    <mergeCell ref="B5:B7"/>
    <mergeCell ref="A4:A7"/>
    <mergeCell ref="E5:E6"/>
    <mergeCell ref="T5:U5"/>
    <mergeCell ref="K5:M5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T world</dc:creator>
  <cp:lastModifiedBy>I T world</cp:lastModifiedBy>
  <dcterms:created xsi:type="dcterms:W3CDTF">2024-11-28T19:47:00Z</dcterms:created>
  <dcterms:modified xsi:type="dcterms:W3CDTF">2025-01-11T19:59:51Z</dcterms:modified>
</cp:coreProperties>
</file>